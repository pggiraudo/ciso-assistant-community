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Amenazas MAGERIT" sheetId="2" state="visible" r:id="rId2"/>
    <sheet name="Escalas y Matriz" sheetId="3" state="visible" r:id="rId3"/>
    <sheet name="Activos" sheetId="4" state="visible" r:id="rId4"/>
    <sheet name="Análisis y Tratamiento" sheetId="5" state="visible" r:id="rId5"/>
  </sheets>
  <definedNames>
    <definedName name="Orden">'Escalas y Matriz'!$A$23:$A$27</definedName>
    <definedName name="RiesgoValor">'Escalas y Matriz'!$D$23:$D$27</definedName>
    <definedName name="MatrizRiesgo">'Escalas y Matriz'!$B$32:$F$36</definedName>
    <definedName name="_xlnm._FilterDatabase" localSheetId="1" hidden="1">'Amenazas MAGERIT'!$A$1:$E$84</definedName>
    <definedName name="_xlnm._FilterDatabase" localSheetId="3" hidden="1">'Activos'!$A$1:$K$25</definedName>
    <definedName name="_xlnm._FilterDatabase" localSheetId="4" hidden="1">'Análisis y Tratamiento'!$A$1:$U$35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sz val="10"/>
    </font>
    <font>
      <name val="Arial"/>
      <b val="1"/>
      <sz val="10"/>
    </font>
    <font>
      <name val="Arial"/>
      <b val="1"/>
      <color rgb="001F4E78"/>
      <sz val="11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3FF4E"/>
      </patternFill>
    </fill>
    <fill>
      <patternFill patternType="solid">
        <fgColor rgb="0002A45A"/>
      </patternFill>
    </fill>
    <fill>
      <patternFill patternType="solid">
        <fgColor rgb="00FFA600"/>
      </patternFill>
    </fill>
    <fill>
      <patternFill patternType="solid">
        <fgColor rgb="00FF1A0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2" borderId="1" pivotButton="0" quotePrefix="0" xfId="0"/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5" fillId="0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Arial"/>
        <b val="1"/>
        <color rgb="00000000"/>
        <sz val="10"/>
      </font>
      <fill>
        <patternFill patternType="solid">
          <fgColor rgb="00D3FF4E"/>
        </patternFill>
      </fill>
    </dxf>
    <dxf>
      <font>
        <name val="Arial"/>
        <b val="1"/>
        <color rgb="00FFFFFF"/>
        <sz val="10"/>
      </font>
      <fill>
        <patternFill patternType="solid">
          <fgColor rgb="0002A45A"/>
        </patternFill>
      </fill>
    </dxf>
    <dxf>
      <font>
        <name val="Arial"/>
        <b val="1"/>
        <color rgb="00000000"/>
        <sz val="10"/>
      </font>
      <fill>
        <patternFill patternType="solid">
          <fgColor rgb="00FFA600"/>
        </patternFill>
      </fill>
    </dxf>
    <dxf>
      <font>
        <name val="Arial"/>
        <b val="1"/>
        <color rgb="00FFFFFF"/>
        <sz val="10"/>
      </font>
      <fill>
        <patternFill patternType="solid">
          <fgColor rgb="00FF1A00"/>
        </patternFill>
      </fill>
    </dxf>
    <dxf>
      <font>
        <name val="Arial"/>
        <b val="1"/>
        <color rgb="00FFFFFF"/>
        <sz val="10"/>
      </font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PLANTILLA DE ANÁLISIS Y GESTIÓN DE RIESGOS - METODOLOGÍA MAGERIT</t>
        </is>
      </c>
    </row>
    <row r="3" ht="45" customHeight="1">
      <c r="A3" s="2" t="inlineStr">
        <is>
          <t>Esta plantilla permite realizar un análisis de riesgos siguiendo la metodología MAGERIT (Metodología de Análisis y Gestión de Riesgos de los Sistemas de Información, CCN-CERT), ampliada con dos grupos de amenazas que no forman parte del catálogo original de 2012, para cubrir los riesgos de cadena de suministro y de inteligencia artificial.</t>
        </is>
      </c>
    </row>
    <row r="5">
      <c r="A5" s="3" t="inlineStr"/>
    </row>
    <row r="6">
      <c r="A6" s="4" t="inlineStr">
        <is>
          <t>Contenido del libro</t>
        </is>
      </c>
    </row>
    <row r="7">
      <c r="A7" s="3" t="inlineStr">
        <is>
          <t>1. Amenazas MAGERIT</t>
        </is>
      </c>
    </row>
    <row r="8" ht="30" customHeight="1">
      <c r="A8" s="2" t="inlineStr">
        <is>
          <t>Catálogo de referencia con las amenazas de los grupos N, I, E, A (catálogo oficial MAGERIT v3, Libro II) y los grupos ampliados S (cadena de suministro) e IA (inteligencia artificial), con descripción y salvaguardas orientativas.</t>
        </is>
      </c>
    </row>
    <row r="9">
      <c r="A9" s="3" t="inlineStr">
        <is>
          <t>2. Escalas y Matriz</t>
        </is>
      </c>
    </row>
    <row r="10" ht="30" customHeight="1">
      <c r="A10" s="2" t="inlineStr">
        <is>
          <t>Definición de las escalas cualitativas de frecuencia, degradación/impacto y riesgo (MB/B/M/A/MA), y la matriz de riesgo 5x5 utilizada para calcular el nivel de riesgo.</t>
        </is>
      </c>
    </row>
    <row r="11">
      <c r="A11" s="3" t="inlineStr">
        <is>
          <t>3. Activos</t>
        </is>
      </c>
    </row>
    <row r="12" ht="30" customHeight="1">
      <c r="A12" s="2" t="inlineStr">
        <is>
          <t>Inventario y valoración de los activos a analizar en las cinco dimensiones de seguridad de MAGERIT: Disponibilidad (D), Integridad (I), Confidencialidad (C), Autenticidad (A) y Trazabilidad (T).</t>
        </is>
      </c>
    </row>
    <row r="13">
      <c r="A13" s="3" t="inlineStr">
        <is>
          <t>4. Análisis y Tratamiento</t>
        </is>
      </c>
    </row>
    <row r="14" ht="30" customHeight="1">
      <c r="A14" s="2" t="inlineStr">
        <is>
          <t>Registro principal: para cada activo y dimensión afectada, se selecciona una amenaza del catálogo, se valora la frecuencia y la degradación, se obtiene el nivel de riesgo (cálculo automático), se define el tratamiento y las salvaguardas, y se recalcula el riesgo residual.</t>
        </is>
      </c>
    </row>
    <row r="15">
      <c r="A15" s="3" t="inlineStr"/>
    </row>
    <row r="16">
      <c r="A16" s="4" t="inlineStr">
        <is>
          <t>Cómo cumplimentar la plantilla</t>
        </is>
      </c>
    </row>
    <row r="17">
      <c r="A17" s="3" t="inlineStr">
        <is>
          <t>Paso 1</t>
        </is>
      </c>
    </row>
    <row r="18" ht="30" customHeight="1">
      <c r="A18" s="2" t="inlineStr">
        <is>
          <t>Completar la hoja 'Activos' con el inventario de activos (información, aplicaciones, hardware, servicios, personal, instalaciones, proveedores, modelos de IA, etc.) y su valoración en cada dimensión (escala 1-10).</t>
        </is>
      </c>
    </row>
    <row r="19">
      <c r="A19" s="3" t="inlineStr">
        <is>
          <t>Paso 2</t>
        </is>
      </c>
    </row>
    <row r="20" ht="30" customHeight="1">
      <c r="A20" s="2" t="inlineStr">
        <is>
          <t>En la hoja 'Análisis y Tratamiento', por cada activo y dimensión, elegir el código de amenaza del catálogo (columna con lista desplegable) y valorar la Frecuencia y la Degradación con la escala MB/B/M/A/MA.</t>
        </is>
      </c>
    </row>
    <row r="21">
      <c r="A21" s="3" t="inlineStr">
        <is>
          <t>Paso 3</t>
        </is>
      </c>
    </row>
    <row r="22" ht="30" customHeight="1">
      <c r="A22" s="2" t="inlineStr">
        <is>
          <t>El Nivel de Riesgo se calcula automáticamente con la matriz de la hoja 'Escalas y Matriz'. Revisar los riesgos en A y MA (naranja/rojo) con prioridad.</t>
        </is>
      </c>
    </row>
    <row r="23">
      <c r="A23" s="3" t="inlineStr">
        <is>
          <t>Paso 4</t>
        </is>
      </c>
    </row>
    <row r="24" ht="30" customHeight="1">
      <c r="A24" s="2" t="inlineStr">
        <is>
          <t>Definir el tratamiento (Aceptar/Mitigar/Transferir/Evitar), las salvaguardas adicionales, el responsable y la fecha límite. Volver a valorar Frecuencia y Degradación residuales para obtener el riesgo residual.</t>
        </is>
      </c>
    </row>
    <row r="25">
      <c r="A25" s="3" t="inlineStr"/>
    </row>
    <row r="26">
      <c r="A26" s="3" t="inlineStr">
        <is>
          <t>Celdas de entrada de datos</t>
        </is>
      </c>
    </row>
    <row r="27" ht="30" customHeight="1">
      <c r="A27" s="2" t="inlineStr">
        <is>
          <t>Las celdas con fondo amarillo son las que debe rellenar el usuario. El resto de celdas contienen fórmulas o textos de referencia y no deben modificarse.</t>
        </is>
      </c>
    </row>
    <row r="29">
      <c r="A29" s="3" t="inlineStr">
        <is>
          <t>Ejemplo de celda de entrada de datos:</t>
        </is>
      </c>
    </row>
    <row r="30">
      <c r="A30" s="5" t="inlineStr">
        <is>
          <t>Rellenar aquí</t>
        </is>
      </c>
    </row>
    <row r="33" ht="30" customHeight="1">
      <c r="A33" s="6" t="inlineStr">
        <is>
          <t>Fuente del catálogo de amenazas base (grupos N/I/E/A): CCN-CERT, MAGERIT v3 - Libro II, Catálogo de Elementos (reproducción autorizada citando la fuente). Grupos S e IA: ampliación elaborada para esta plantilla.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42" customWidth="1" min="3" max="3"/>
    <col width="60" customWidth="1" min="4" max="4"/>
    <col width="60" customWidth="1" min="5" max="5"/>
  </cols>
  <sheetData>
    <row r="1">
      <c r="A1" s="7" t="inlineStr">
        <is>
          <t>Grupo</t>
        </is>
      </c>
      <c r="B1" s="7" t="inlineStr">
        <is>
          <t>Código</t>
        </is>
      </c>
      <c r="C1" s="7" t="inlineStr">
        <is>
          <t>Amenaza</t>
        </is>
      </c>
      <c r="D1" s="7" t="inlineStr">
        <is>
          <t>Descripción</t>
        </is>
      </c>
      <c r="E1" s="7" t="inlineStr">
        <is>
          <t>Salvaguardas orientativas</t>
        </is>
      </c>
    </row>
    <row r="2">
      <c r="A2" s="8" t="inlineStr">
        <is>
          <t>N - Desastres naturales</t>
        </is>
      </c>
      <c r="B2" s="8" t="inlineStr">
        <is>
          <t>N.1</t>
        </is>
      </c>
      <c r="C2" s="8" t="inlineStr">
        <is>
          <t>Fuego</t>
        </is>
      </c>
      <c r="D2" s="8" t="inlineStr">
        <is>
          <t>Incendio de origen natural (p. ej. incendio forestal) que puede destruir o dañar instalaciones, equipos o soportes de información.</t>
        </is>
      </c>
      <c r="E2" s="8" t="inlineStr">
        <is>
          <t>Disponer de sistemas de detección y extinción de incendios, ubicaciones alternativas (CPD de respaldo) y copias de seguridad externalizadas.</t>
        </is>
      </c>
    </row>
    <row r="3">
      <c r="A3" s="8" t="inlineStr">
        <is>
          <t>N - Desastres naturales</t>
        </is>
      </c>
      <c r="B3" s="8" t="inlineStr">
        <is>
          <t>N.2</t>
        </is>
      </c>
      <c r="C3" s="8" t="inlineStr">
        <is>
          <t>Daños por agua</t>
        </is>
      </c>
      <c r="D3" s="8" t="inlineStr">
        <is>
          <t>Inundación de origen natural (lluvias torrenciales, desbordamientos, etc.) que puede dañar instalaciones y equipos.</t>
        </is>
      </c>
      <c r="E3" s="8" t="inlineStr">
        <is>
          <t>Evitar ubicar los centros de proceso de datos en plantas bajas o zonas inundables; sistemas de detección de agua y planes de continuidad.</t>
        </is>
      </c>
    </row>
    <row r="4">
      <c r="A4" s="8" t="inlineStr">
        <is>
          <t>N - Desastres naturales</t>
        </is>
      </c>
      <c r="B4" s="8" t="inlineStr">
        <is>
          <t>N.*</t>
        </is>
      </c>
      <c r="C4" s="8" t="inlineStr">
        <is>
          <t>Desastres naturales</t>
        </is>
      </c>
      <c r="D4" s="8" t="inlineStr">
        <is>
          <t>Otros desastres de origen natural: terremotos, rayos, meteorología adversa, etc.</t>
        </is>
      </c>
      <c r="E4" s="8" t="inlineStr">
        <is>
          <t>Análisis de riesgo geográfico de las instalaciones, seguro de daños y plan de continuidad de negocio (BCP/DRP).</t>
        </is>
      </c>
    </row>
    <row r="5">
      <c r="A5" s="8" t="inlineStr">
        <is>
          <t>I - De origen industrial</t>
        </is>
      </c>
      <c r="B5" s="8" t="inlineStr">
        <is>
          <t>I.1</t>
        </is>
      </c>
      <c r="C5" s="8" t="inlineStr">
        <is>
          <t>Fuego</t>
        </is>
      </c>
      <c r="D5" s="8" t="inlineStr">
        <is>
          <t>Incendio de origen industrial (fallo eléctrico, entorno del centro de proceso de datos, etc.).</t>
        </is>
      </c>
      <c r="E5" s="8" t="inlineStr">
        <is>
          <t>Sistemas de extinción automática, compartimentación de salas técnicas, mantenimiento eléctrico preventivo.</t>
        </is>
      </c>
    </row>
    <row r="6">
      <c r="A6" s="8" t="inlineStr">
        <is>
          <t>I - De origen industrial</t>
        </is>
      </c>
      <c r="B6" s="8" t="inlineStr">
        <is>
          <t>I.2</t>
        </is>
      </c>
      <c r="C6" s="8" t="inlineStr">
        <is>
          <t>Daños por agua</t>
        </is>
      </c>
      <c r="D6" s="8" t="inlineStr">
        <is>
          <t>Escapes, fugas o vertidos de agua de origen industrial (climatización, fontanería, sprinklers, etc.).</t>
        </is>
      </c>
      <c r="E6" s="8" t="inlineStr">
        <is>
          <t>Detección de fugas, ubicación de equipos elevada respecto al suelo, mantenimiento de instalaciones.</t>
        </is>
      </c>
    </row>
    <row r="7">
      <c r="A7" s="8" t="inlineStr">
        <is>
          <t>I - De origen industrial</t>
        </is>
      </c>
      <c r="B7" s="8" t="inlineStr">
        <is>
          <t>I.*</t>
        </is>
      </c>
      <c r="C7" s="8" t="inlineStr">
        <is>
          <t>Desastres industriales</t>
        </is>
      </c>
      <c r="D7" s="8" t="inlineStr">
        <is>
          <t>Explosión, derrumbe, contaminación química, sobrecarga eléctrica u otros desastres de origen industrial (propios o del entorno).</t>
        </is>
      </c>
      <c r="E7" s="8" t="inlineStr">
        <is>
          <t>Planes de emergencia y evacuación, análisis de riesgos del entorno físico, coordinación con instalaciones colindantes.</t>
        </is>
      </c>
    </row>
    <row r="8">
      <c r="A8" s="8" t="inlineStr">
        <is>
          <t>I - De origen industrial</t>
        </is>
      </c>
      <c r="B8" s="8" t="inlineStr">
        <is>
          <t>I.3</t>
        </is>
      </c>
      <c r="C8" s="8" t="inlineStr">
        <is>
          <t>Contaminación mecánica</t>
        </is>
      </c>
      <c r="D8" s="8" t="inlineStr">
        <is>
          <t>Vibraciones, polvo o suciedad que afectan al funcionamiento de los equipos.</t>
        </is>
      </c>
      <c r="E8" s="8" t="inlineStr">
        <is>
          <t>Mantenimiento preventivo y salas técnicas con control ambiental adecuado.</t>
        </is>
      </c>
    </row>
    <row r="9">
      <c r="A9" s="8" t="inlineStr">
        <is>
          <t>I - De origen industrial</t>
        </is>
      </c>
      <c r="B9" s="8" t="inlineStr">
        <is>
          <t>I.4</t>
        </is>
      </c>
      <c r="C9" s="8" t="inlineStr">
        <is>
          <t>Contaminación electromagnética</t>
        </is>
      </c>
      <c r="D9" s="8" t="inlineStr">
        <is>
          <t>Interferencias electromagnéticas que afectan al funcionamiento de los equipos.</t>
        </is>
      </c>
      <c r="E9" s="8" t="inlineStr">
        <is>
          <t>Apantallamiento, cumplimiento de normativa de compatibilidad electromagnética y distancia a fuentes de interferencia.</t>
        </is>
      </c>
    </row>
    <row r="10">
      <c r="A10" s="8" t="inlineStr">
        <is>
          <t>I - De origen industrial</t>
        </is>
      </c>
      <c r="B10" s="8" t="inlineStr">
        <is>
          <t>I.5</t>
        </is>
      </c>
      <c r="C10" s="8" t="inlineStr">
        <is>
          <t>Avería de origen físico o lógico</t>
        </is>
      </c>
      <c r="D10" s="8" t="inlineStr">
        <is>
          <t>Fallo de un equipo o sistema por defecto de fabricación, desgaste o error de programación.</t>
        </is>
      </c>
      <c r="E10" s="8" t="inlineStr">
        <is>
          <t>Mantenimiento preventivo, redundancia de equipos críticos, pruebas y control de calidad del software.</t>
        </is>
      </c>
    </row>
    <row r="11">
      <c r="A11" s="8" t="inlineStr">
        <is>
          <t>I - De origen industrial</t>
        </is>
      </c>
      <c r="B11" s="8" t="inlineStr">
        <is>
          <t>I.6</t>
        </is>
      </c>
      <c r="C11" s="8" t="inlineStr">
        <is>
          <t>Corte del suministro eléctrico</t>
        </is>
      </c>
      <c r="D11" s="8" t="inlineStr">
        <is>
          <t>Cese de la alimentación eléctrica que puede afectar a la disponibilidad de los sistemas.</t>
        </is>
      </c>
      <c r="E11" s="8" t="inlineStr">
        <is>
          <t>SAI/UPS, generadores de respaldo y contratos con distribuidoras de doble acometida.</t>
        </is>
      </c>
    </row>
    <row r="12">
      <c r="A12" s="8" t="inlineStr">
        <is>
          <t>I - De origen industrial</t>
        </is>
      </c>
      <c r="B12" s="8" t="inlineStr">
        <is>
          <t>I.7</t>
        </is>
      </c>
      <c r="C12" s="8" t="inlineStr">
        <is>
          <t>Condiciones inadecuadas de temperatura o humedad</t>
        </is>
      </c>
      <c r="D12" s="8" t="inlineStr">
        <is>
          <t>Fallo de los sistemas de climatización que provoca condiciones ambientales fuera de rango en el centro de proceso de datos.</t>
        </is>
      </c>
      <c r="E12" s="8" t="inlineStr">
        <is>
          <t>Climatización redundante (N+1) y monitorización ambiental con alarmas.</t>
        </is>
      </c>
    </row>
    <row r="13">
      <c r="A13" s="8" t="inlineStr">
        <is>
          <t>I - De origen industrial</t>
        </is>
      </c>
      <c r="B13" s="8" t="inlineStr">
        <is>
          <t>I.8</t>
        </is>
      </c>
      <c r="C13" s="8" t="inlineStr">
        <is>
          <t>Fallo de servicios de comunicaciones</t>
        </is>
      </c>
      <c r="D13" s="8" t="inlineStr">
        <is>
          <t>Caída o degradación de los enlaces de comunicaciones/red.</t>
        </is>
      </c>
      <c r="E13" s="8" t="inlineStr">
        <is>
          <t>Enlaces redundantes con proveedores distintos, monitorización de red y SLA con penalizaciones.</t>
        </is>
      </c>
    </row>
    <row r="14">
      <c r="A14" s="8" t="inlineStr">
        <is>
          <t>I - De origen industrial</t>
        </is>
      </c>
      <c r="B14" s="8" t="inlineStr">
        <is>
          <t>I.9</t>
        </is>
      </c>
      <c r="C14" s="8" t="inlineStr">
        <is>
          <t>Interrupción de otros servicios o suministros esenciales</t>
        </is>
      </c>
      <c r="D14" s="8" t="inlineStr">
        <is>
          <t>Fallo de otros suministros necesarios (agua, gas, servicios subcontratados, etc.).</t>
        </is>
      </c>
      <c r="E14" s="8" t="inlineStr">
        <is>
          <t>Identificar dependencias críticas de suministros y disponer de alternativas o contratos de contingencia.</t>
        </is>
      </c>
    </row>
    <row r="15">
      <c r="A15" s="8" t="inlineStr">
        <is>
          <t>I - De origen industrial</t>
        </is>
      </c>
      <c r="B15" s="8" t="inlineStr">
        <is>
          <t>I.10</t>
        </is>
      </c>
      <c r="C15" s="8" t="inlineStr">
        <is>
          <t>Degradación de los soportes de almacenamiento de la información</t>
        </is>
      </c>
      <c r="D15" s="8" t="inlineStr">
        <is>
          <t>Desgaste natural o defecto de fabricación de los soportes (discos, cintas, etc.) que provoca pérdida de información.</t>
        </is>
      </c>
      <c r="E15" s="8" t="inlineStr">
        <is>
          <t>Copias de seguridad periódicas, comprobación de integridad y renovación planificada de soportes.</t>
        </is>
      </c>
    </row>
    <row r="16">
      <c r="A16" s="8" t="inlineStr">
        <is>
          <t>I - De origen industrial</t>
        </is>
      </c>
      <c r="B16" s="8" t="inlineStr">
        <is>
          <t>I.11</t>
        </is>
      </c>
      <c r="C16" s="8" t="inlineStr">
        <is>
          <t>Emanaciones electromagnéticas</t>
        </is>
      </c>
      <c r="D16" s="8" t="inlineStr">
        <is>
          <t>El propio funcionamiento de los equipos genera radiaciones que pueden ser capturadas para obtener información (TEMPEST).</t>
        </is>
      </c>
      <c r="E16" s="8" t="inlineStr">
        <is>
          <t>Apantallamiento TEMPEST en entornos de alta clasificación y control de acceso físico al entorno de los equipos.</t>
        </is>
      </c>
    </row>
    <row r="17">
      <c r="A17" s="8" t="inlineStr">
        <is>
          <t>E - Errores y fallos no intencionados</t>
        </is>
      </c>
      <c r="B17" s="8" t="inlineStr">
        <is>
          <t>E.1</t>
        </is>
      </c>
      <c r="C17" s="8" t="inlineStr">
        <is>
          <t>Errores de los usuarios</t>
        </is>
      </c>
      <c r="D17" s="8" t="inlineStr">
        <is>
          <t>Equivocaciones de las personas al utilizar los sistemas (introducción de datos, uso indebido, etc.).</t>
        </is>
      </c>
      <c r="E17" s="8" t="inlineStr">
        <is>
          <t>Formación y concienciación, validación de entradas y principio de mínimo privilegio.</t>
        </is>
      </c>
    </row>
    <row r="18">
      <c r="A18" s="8" t="inlineStr">
        <is>
          <t>E - Errores y fallos no intencionados</t>
        </is>
      </c>
      <c r="B18" s="8" t="inlineStr">
        <is>
          <t>E.2</t>
        </is>
      </c>
      <c r="C18" s="8" t="inlineStr">
        <is>
          <t>Errores del administrador</t>
        </is>
      </c>
      <c r="D18" s="8" t="inlineStr">
        <is>
          <t>Equivocaciones de las personas con responsabilidades de instalación y operación de los sistemas.</t>
        </is>
      </c>
      <c r="E18" s="8" t="inlineStr">
        <is>
          <t>Procedimientos operativos documentados, segregación de funciones y revisión por pares de cambios críticos.</t>
        </is>
      </c>
    </row>
    <row r="19">
      <c r="A19" s="8" t="inlineStr">
        <is>
          <t>E - Errores y fallos no intencionados</t>
        </is>
      </c>
      <c r="B19" s="8" t="inlineStr">
        <is>
          <t>E.3</t>
        </is>
      </c>
      <c r="C19" s="8" t="inlineStr">
        <is>
          <t>Errores de monitorización (log)</t>
        </is>
      </c>
      <c r="D19" s="8" t="inlineStr">
        <is>
          <t>Inadecuado registro de actividad: falta, insuficiencia o pérdida de los registros de auditoría.</t>
        </is>
      </c>
      <c r="E19" s="8" t="inlineStr">
        <is>
          <t>Centralización de registros (SIEM), retención adecuada y alertado sobre fallos de registro.</t>
        </is>
      </c>
    </row>
    <row r="20">
      <c r="A20" s="8" t="inlineStr">
        <is>
          <t>E - Errores y fallos no intencionados</t>
        </is>
      </c>
      <c r="B20" s="8" t="inlineStr">
        <is>
          <t>E.4</t>
        </is>
      </c>
      <c r="C20" s="8" t="inlineStr">
        <is>
          <t>Errores de configuración</t>
        </is>
      </c>
      <c r="D20" s="8" t="inlineStr">
        <is>
          <t>Introducción de datos de configuración erróneos en sistemas y aplicaciones.</t>
        </is>
      </c>
      <c r="E20" s="8" t="inlineStr">
        <is>
          <t>Gestión de configuración (CMDB), control de cambios y plantillas de hardening estandarizadas.</t>
        </is>
      </c>
    </row>
    <row r="21">
      <c r="A21" s="8" t="inlineStr">
        <is>
          <t>E - Errores y fallos no intencionados</t>
        </is>
      </c>
      <c r="B21" s="8" t="inlineStr">
        <is>
          <t>E.7</t>
        </is>
      </c>
      <c r="C21" s="8" t="inlineStr">
        <is>
          <t>Deficiencias en la organización</t>
        </is>
      </c>
      <c r="D21" s="8" t="inlineStr">
        <is>
          <t>Ausencia o insuficiencia de normas, procedimientos o asignación de responsabilidades que facilita la aparición de otros incidentes.</t>
        </is>
      </c>
      <c r="E21" s="8" t="inlineStr">
        <is>
          <t>Políticas y procedimientos formalizados y definición clara de roles y responsabilidades (RACI).</t>
        </is>
      </c>
    </row>
    <row r="22">
      <c r="A22" s="8" t="inlineStr">
        <is>
          <t>E - Errores y fallos no intencionados</t>
        </is>
      </c>
      <c r="B22" s="8" t="inlineStr">
        <is>
          <t>E.8</t>
        </is>
      </c>
      <c r="C22" s="8" t="inlineStr">
        <is>
          <t>Difusión de software dañino (no intencionada)</t>
        </is>
      </c>
      <c r="D22" s="8" t="inlineStr">
        <is>
          <t>Propagación de virus, gusanos u otro código malicioso de forma no intencionada.</t>
        </is>
      </c>
      <c r="E22" s="8" t="inlineStr">
        <is>
          <t>Antimalware actualizado, filtrado de correo/web y formación al usuario.</t>
        </is>
      </c>
    </row>
    <row r="23">
      <c r="A23" s="8" t="inlineStr">
        <is>
          <t>E - Errores y fallos no intencionados</t>
        </is>
      </c>
      <c r="B23" s="8" t="inlineStr">
        <is>
          <t>E.9</t>
        </is>
      </c>
      <c r="C23" s="8" t="inlineStr">
        <is>
          <t>Errores de [re-]encaminamiento</t>
        </is>
      </c>
      <c r="D23" s="8" t="inlineStr">
        <is>
          <t>Envío de información a través de un sistema o destino equivocado.</t>
        </is>
      </c>
      <c r="E23" s="8" t="inlineStr">
        <is>
          <t>Validación de destinatarios, herramientas DLP y revisión de reglas de encaminamiento.</t>
        </is>
      </c>
    </row>
    <row r="24">
      <c r="A24" s="8" t="inlineStr">
        <is>
          <t>E - Errores y fallos no intencionados</t>
        </is>
      </c>
      <c r="B24" s="8" t="inlineStr">
        <is>
          <t>E.10</t>
        </is>
      </c>
      <c r="C24" s="8" t="inlineStr">
        <is>
          <t>Errores de secuencia</t>
        </is>
      </c>
      <c r="D24" s="8" t="inlineStr">
        <is>
          <t>Alteración accidental del orden de los mensajes o transacciones.</t>
        </is>
      </c>
      <c r="E24" s="8" t="inlineStr">
        <is>
          <t>Controles de integridad y numeración de secuencia, validación transaccional.</t>
        </is>
      </c>
    </row>
    <row r="25">
      <c r="A25" s="8" t="inlineStr">
        <is>
          <t>E - Errores y fallos no intencionados</t>
        </is>
      </c>
      <c r="B25" s="8" t="inlineStr">
        <is>
          <t>E.14</t>
        </is>
      </c>
      <c r="C25" s="8" t="inlineStr">
        <is>
          <t>Escapes de información</t>
        </is>
      </c>
      <c r="D25" s="8" t="inlineStr">
        <is>
          <t>Revelación de información por indiscreción, descuido o falta de control (no intencionada).</t>
        </is>
      </c>
      <c r="E25" s="8" t="inlineStr">
        <is>
          <t>Clasificación de la información, controles DLP y cláusulas de confidencialidad.</t>
        </is>
      </c>
    </row>
    <row r="26">
      <c r="A26" s="8" t="inlineStr">
        <is>
          <t>E - Errores y fallos no intencionados</t>
        </is>
      </c>
      <c r="B26" s="8" t="inlineStr">
        <is>
          <t>E.15</t>
        </is>
      </c>
      <c r="C26" s="8" t="inlineStr">
        <is>
          <t>Alteración accidental de la información</t>
        </is>
      </c>
      <c r="D26" s="8" t="inlineStr">
        <is>
          <t>Modificación no intencionada de datos por error humano o de proceso.</t>
        </is>
      </c>
      <c r="E26" s="8" t="inlineStr">
        <is>
          <t>Controles de integridad, versionado, copias de seguridad y validación de cambios.</t>
        </is>
      </c>
    </row>
    <row r="27">
      <c r="A27" s="8" t="inlineStr">
        <is>
          <t>E - Errores y fallos no intencionados</t>
        </is>
      </c>
      <c r="B27" s="8" t="inlineStr">
        <is>
          <t>E.18</t>
        </is>
      </c>
      <c r="C27" s="8" t="inlineStr">
        <is>
          <t>Destrucción de información</t>
        </is>
      </c>
      <c r="D27" s="8" t="inlineStr">
        <is>
          <t>Pérdida accidental de información por borrado, sobrescritura o daño no intencionado.</t>
        </is>
      </c>
      <c r="E27" s="8" t="inlineStr">
        <is>
          <t>Copias de seguridad periódicas y probadas, y control de acceso a operaciones destructivas.</t>
        </is>
      </c>
    </row>
    <row r="28">
      <c r="A28" s="8" t="inlineStr">
        <is>
          <t>E - Errores y fallos no intencionados</t>
        </is>
      </c>
      <c r="B28" s="8" t="inlineStr">
        <is>
          <t>E.19</t>
        </is>
      </c>
      <c r="C28" s="8" t="inlineStr">
        <is>
          <t>Fugas de información (no intencionadas)</t>
        </is>
      </c>
      <c r="D28" s="8" t="inlineStr">
        <is>
          <t>Salida no controlada de información fuera del ámbito autorizado por descuido o mal uso.</t>
        </is>
      </c>
      <c r="E28" s="8" t="inlineStr">
        <is>
          <t>DLP, cifrado de soportes móviles y políticas de uso aceptable.</t>
        </is>
      </c>
    </row>
    <row r="29">
      <c r="A29" s="8" t="inlineStr">
        <is>
          <t>E - Errores y fallos no intencionados</t>
        </is>
      </c>
      <c r="B29" s="8" t="inlineStr">
        <is>
          <t>E.20</t>
        </is>
      </c>
      <c r="C29" s="8" t="inlineStr">
        <is>
          <t>Vulnerabilidades de los programas (software)</t>
        </is>
      </c>
      <c r="D29" s="8" t="inlineStr">
        <is>
          <t>Defectos en el código que pueden ser explotados.</t>
        </is>
      </c>
      <c r="E29" s="8" t="inlineStr">
        <is>
          <t>Gestión de vulnerabilidades y parches, análisis de código (SAST/DAST/SCA) y ciclo de desarrollo seguro.</t>
        </is>
      </c>
    </row>
    <row r="30">
      <c r="A30" s="8" t="inlineStr">
        <is>
          <t>E - Errores y fallos no intencionados</t>
        </is>
      </c>
      <c r="B30" s="8" t="inlineStr">
        <is>
          <t>E.21</t>
        </is>
      </c>
      <c r="C30" s="8" t="inlineStr">
        <is>
          <t>Errores de mantenimiento / actualización de programas (software)</t>
        </is>
      </c>
      <c r="D30" s="8" t="inlineStr">
        <is>
          <t>Fallos al aplicar actualizaciones o mantenimiento que afectan a la operación del sistema.</t>
        </is>
      </c>
      <c r="E30" s="8" t="inlineStr">
        <is>
          <t>Entornos de pruebas, ventanas de mantenimiento controladas y planes de rollback.</t>
        </is>
      </c>
    </row>
    <row r="31">
      <c r="A31" s="8" t="inlineStr">
        <is>
          <t>E - Errores y fallos no intencionados</t>
        </is>
      </c>
      <c r="B31" s="8" t="inlineStr">
        <is>
          <t>E.23</t>
        </is>
      </c>
      <c r="C31" s="8" t="inlineStr">
        <is>
          <t>Errores de mantenimiento / actualización de equipos (hardware)</t>
        </is>
      </c>
      <c r="D31" s="8" t="inlineStr">
        <is>
          <t>Fallos al realizar el mantenimiento físico de los equipos.</t>
        </is>
      </c>
      <c r="E31" s="8" t="inlineStr">
        <is>
          <t>Mantenimiento por personal cualificado y procedimientos/checklist de mantenimiento.</t>
        </is>
      </c>
    </row>
    <row r="32">
      <c r="A32" s="8" t="inlineStr">
        <is>
          <t>E - Errores y fallos no intencionados</t>
        </is>
      </c>
      <c r="B32" s="8" t="inlineStr">
        <is>
          <t>E.24</t>
        </is>
      </c>
      <c r="C32" s="8" t="inlineStr">
        <is>
          <t>Caída del sistema por agotamiento de recursos</t>
        </is>
      </c>
      <c r="D32" s="8" t="inlineStr">
        <is>
          <t>Falta de dimensionamiento o capacidad (CPU, memoria, disco, ancho de banda) que provoca la caída del servicio.</t>
        </is>
      </c>
      <c r="E32" s="8" t="inlineStr">
        <is>
          <t>Monitorización de capacidad, autoescalado, pruebas de carga y planificación de capacidad.</t>
        </is>
      </c>
    </row>
    <row r="33">
      <c r="A33" s="8" t="inlineStr">
        <is>
          <t>E - Errores y fallos no intencionados</t>
        </is>
      </c>
      <c r="B33" s="8" t="inlineStr">
        <is>
          <t>E.25</t>
        </is>
      </c>
      <c r="C33" s="8" t="inlineStr">
        <is>
          <t>Pérdida de equipos</t>
        </is>
      </c>
      <c r="D33" s="8" t="inlineStr">
        <is>
          <t>Extravío accidental de equipos (portátiles, móviles, soportes extraíbles).</t>
        </is>
      </c>
      <c r="E33" s="8" t="inlineStr">
        <is>
          <t>Cifrado de disco completo, gestión de dispositivos móviles (MDM) y borrado remoto.</t>
        </is>
      </c>
    </row>
    <row r="34">
      <c r="A34" s="8" t="inlineStr">
        <is>
          <t>E - Errores y fallos no intencionados</t>
        </is>
      </c>
      <c r="B34" s="8" t="inlineStr">
        <is>
          <t>E.28</t>
        </is>
      </c>
      <c r="C34" s="8" t="inlineStr">
        <is>
          <t>Indisponibilidad del personal</t>
        </is>
      </c>
      <c r="D34" s="8" t="inlineStr">
        <is>
          <t>Ausencia del personal necesario para la operación por causas no intencionadas (enfermedad, accidente, etc.).</t>
        </is>
      </c>
      <c r="E34" s="8" t="inlineStr">
        <is>
          <t>Planes de continuidad de personal, documentación de procesos y polivalencia del equipo.</t>
        </is>
      </c>
    </row>
    <row r="35">
      <c r="A35" s="8" t="inlineStr">
        <is>
          <t>A - Ataques intencionados</t>
        </is>
      </c>
      <c r="B35" s="8" t="inlineStr">
        <is>
          <t>A.3</t>
        </is>
      </c>
      <c r="C35" s="8" t="inlineStr">
        <is>
          <t>Manipulación de los registros de actividad (log)</t>
        </is>
      </c>
      <c r="D35" s="8" t="inlineStr">
        <is>
          <t>Alteración intencionada de los registros para ocultar un ataque.</t>
        </is>
      </c>
      <c r="E35" s="8" t="inlineStr">
        <is>
          <t>Registros inmutables/WORM, envío en tiempo real a un SIEM externo y firma o hash de los registros.</t>
        </is>
      </c>
    </row>
    <row r="36">
      <c r="A36" s="8" t="inlineStr">
        <is>
          <t>A - Ataques intencionados</t>
        </is>
      </c>
      <c r="B36" s="8" t="inlineStr">
        <is>
          <t>A.4</t>
        </is>
      </c>
      <c r="C36" s="8" t="inlineStr">
        <is>
          <t>Manipulación de la configuración</t>
        </is>
      </c>
      <c r="D36" s="8" t="inlineStr">
        <is>
          <t>Modificación deliberada de la configuración de sistemas para debilitar la seguridad o facilitar un ataque.</t>
        </is>
      </c>
      <c r="E36" s="8" t="inlineStr">
        <is>
          <t>Control de cambios, monitorización de integridad de configuración (FIM) y mínimo privilegio.</t>
        </is>
      </c>
    </row>
    <row r="37">
      <c r="A37" s="8" t="inlineStr">
        <is>
          <t>A - Ataques intencionados</t>
        </is>
      </c>
      <c r="B37" s="8" t="inlineStr">
        <is>
          <t>A.5</t>
        </is>
      </c>
      <c r="C37" s="8" t="inlineStr">
        <is>
          <t>Suplantación de la identidad del usuario</t>
        </is>
      </c>
      <c r="D37" s="8" t="inlineStr">
        <is>
          <t>Un atacante se hace pasar por un usuario legítimo para acceder a recursos no autorizados.</t>
        </is>
      </c>
      <c r="E37" s="8" t="inlineStr">
        <is>
          <t>Autenticación multifactor, políticas de contraseñas robustas y monitorización de accesos anómalos.</t>
        </is>
      </c>
    </row>
    <row r="38">
      <c r="A38" s="8" t="inlineStr">
        <is>
          <t>A - Ataques intencionados</t>
        </is>
      </c>
      <c r="B38" s="8" t="inlineStr">
        <is>
          <t>A.6</t>
        </is>
      </c>
      <c r="C38" s="8" t="inlineStr">
        <is>
          <t>Abuso de privilegios de acceso</t>
        </is>
      </c>
      <c r="D38" s="8" t="inlineStr">
        <is>
          <t>Uso de privilegios legítimos para fines no autorizados.</t>
        </is>
      </c>
      <c r="E38" s="8" t="inlineStr">
        <is>
          <t>Principio de mínimo privilegio, revisión periódica de permisos y monitorización de acciones privilegiadas (PAM).</t>
        </is>
      </c>
    </row>
    <row r="39">
      <c r="A39" s="8" t="inlineStr">
        <is>
          <t>A - Ataques intencionados</t>
        </is>
      </c>
      <c r="B39" s="8" t="inlineStr">
        <is>
          <t>A.7</t>
        </is>
      </c>
      <c r="C39" s="8" t="inlineStr">
        <is>
          <t>Uso no previsto</t>
        </is>
      </c>
      <c r="D39" s="8" t="inlineStr">
        <is>
          <t>Utilización de los recursos del sistema para fines distintos a los autorizados (p. ej. minería de criptomonedas, fines personales).</t>
        </is>
      </c>
      <c r="E39" s="8" t="inlineStr">
        <is>
          <t>Políticas de uso aceptable, monitorización de uso de recursos y control de aplicaciones.</t>
        </is>
      </c>
    </row>
    <row r="40">
      <c r="A40" s="8" t="inlineStr">
        <is>
          <t>A - Ataques intencionados</t>
        </is>
      </c>
      <c r="B40" s="8" t="inlineStr">
        <is>
          <t>A.8</t>
        </is>
      </c>
      <c r="C40" s="8" t="inlineStr">
        <is>
          <t>Difusión de software dañino (intencionada)</t>
        </is>
      </c>
      <c r="D40" s="8" t="inlineStr">
        <is>
          <t>Propagación deliberada de virus, ransomware, troyanos u otro código malicioso.</t>
        </is>
      </c>
      <c r="E40" s="8" t="inlineStr">
        <is>
          <t>EDR/antimalware, segmentación de red y copias de seguridad offline/inmutables frente a ransomware.</t>
        </is>
      </c>
    </row>
    <row r="41">
      <c r="A41" s="8" t="inlineStr">
        <is>
          <t>A - Ataques intencionados</t>
        </is>
      </c>
      <c r="B41" s="8" t="inlineStr">
        <is>
          <t>A.9</t>
        </is>
      </c>
      <c r="C41" s="8" t="inlineStr">
        <is>
          <t>[Re-]encaminamiento de mensajes</t>
        </is>
      </c>
      <c r="D41" s="8" t="inlineStr">
        <is>
          <t>Desvío intencionado de mensajes o tráfico hacia un destino no autorizado.</t>
        </is>
      </c>
      <c r="E41" s="8" t="inlineStr">
        <is>
          <t>Autenticación de rutas y protocolos, monitorización de red y cifrado de extremo a extremo.</t>
        </is>
      </c>
    </row>
    <row r="42">
      <c r="A42" s="8" t="inlineStr">
        <is>
          <t>A - Ataques intencionados</t>
        </is>
      </c>
      <c r="B42" s="8" t="inlineStr">
        <is>
          <t>A.10</t>
        </is>
      </c>
      <c r="C42" s="8" t="inlineStr">
        <is>
          <t>Alteración de secuencia</t>
        </is>
      </c>
      <c r="D42" s="8" t="inlineStr">
        <is>
          <t>Alteración deliberada del orden de mensajes o transacciones para producir un efecto no autorizado.</t>
        </is>
      </c>
      <c r="E42" s="8" t="inlineStr">
        <is>
          <t>Controles criptográficos de integridad y numeración de secuencia.</t>
        </is>
      </c>
    </row>
    <row r="43">
      <c r="A43" s="8" t="inlineStr">
        <is>
          <t>A - Ataques intencionados</t>
        </is>
      </c>
      <c r="B43" s="8" t="inlineStr">
        <is>
          <t>A.11</t>
        </is>
      </c>
      <c r="C43" s="8" t="inlineStr">
        <is>
          <t>Acceso no autorizado</t>
        </is>
      </c>
      <c r="D43" s="8" t="inlineStr">
        <is>
          <t>Un atacante accede a los sistemas o instalaciones sin autorización, física o lógica.</t>
        </is>
      </c>
      <c r="E43" s="8" t="inlineStr">
        <is>
          <t>Control de acceso físico y lógico, autenticación multifactor y segmentación de red.</t>
        </is>
      </c>
    </row>
    <row r="44">
      <c r="A44" s="8" t="inlineStr">
        <is>
          <t>A - Ataques intencionados</t>
        </is>
      </c>
      <c r="B44" s="8" t="inlineStr">
        <is>
          <t>A.12</t>
        </is>
      </c>
      <c r="C44" s="8" t="inlineStr">
        <is>
          <t>Análisis de tráfico</t>
        </is>
      </c>
      <c r="D44" s="8" t="inlineStr">
        <is>
          <t>Observación del tráfico de comunicaciones para obtener información, aunque esté cifrado.</t>
        </is>
      </c>
      <c r="E44" s="8" t="inlineStr">
        <is>
          <t>Cifrado de comunicaciones, ofuscación de metadatos y uso de VPN.</t>
        </is>
      </c>
    </row>
    <row r="45">
      <c r="A45" s="8" t="inlineStr">
        <is>
          <t>A - Ataques intencionados</t>
        </is>
      </c>
      <c r="B45" s="8" t="inlineStr">
        <is>
          <t>A.13</t>
        </is>
      </c>
      <c r="C45" s="8" t="inlineStr">
        <is>
          <t>Repudio</t>
        </is>
      </c>
      <c r="D45" s="8" t="inlineStr">
        <is>
          <t>Negación de la autoría de una acción o transacción realmente realizada.</t>
        </is>
      </c>
      <c r="E45" s="8" t="inlineStr">
        <is>
          <t>Firma electrónica, sellado de tiempo y registros de auditoría fehacientes (trazabilidad).</t>
        </is>
      </c>
    </row>
    <row r="46">
      <c r="A46" s="8" t="inlineStr">
        <is>
          <t>A - Ataques intencionados</t>
        </is>
      </c>
      <c r="B46" s="8" t="inlineStr">
        <is>
          <t>A.14</t>
        </is>
      </c>
      <c r="C46" s="8" t="inlineStr">
        <is>
          <t>Interceptación de información (escucha)</t>
        </is>
      </c>
      <c r="D46" s="8" t="inlineStr">
        <is>
          <t>Captura no autorizada de información en tránsito (eavesdropping, sniffing).</t>
        </is>
      </c>
      <c r="E46" s="8" t="inlineStr">
        <is>
          <t>Cifrado de comunicaciones (TLS/VPN), segmentación de red y protección frente a accesos físicos al cableado.</t>
        </is>
      </c>
    </row>
    <row r="47">
      <c r="A47" s="8" t="inlineStr">
        <is>
          <t>A - Ataques intencionados</t>
        </is>
      </c>
      <c r="B47" s="8" t="inlineStr">
        <is>
          <t>A.15</t>
        </is>
      </c>
      <c r="C47" s="8" t="inlineStr">
        <is>
          <t>Modificación deliberada de la información</t>
        </is>
      </c>
      <c r="D47" s="8" t="inlineStr">
        <is>
          <t>Alteración intencionada y no autorizada de datos.</t>
        </is>
      </c>
      <c r="E47" s="8" t="inlineStr">
        <is>
          <t>Controles de integridad, firma digital y segregación de funciones.</t>
        </is>
      </c>
    </row>
    <row r="48">
      <c r="A48" s="8" t="inlineStr">
        <is>
          <t>A - Ataques intencionados</t>
        </is>
      </c>
      <c r="B48" s="8" t="inlineStr">
        <is>
          <t>A.18</t>
        </is>
      </c>
      <c r="C48" s="8" t="inlineStr">
        <is>
          <t>Destrucción de información</t>
        </is>
      </c>
      <c r="D48" s="8" t="inlineStr">
        <is>
          <t>Eliminación deliberada y no autorizada de información.</t>
        </is>
      </c>
      <c r="E48" s="8" t="inlineStr">
        <is>
          <t>Copias de seguridad inmutables/offline, control de acceso a funciones de borrado y monitorización.</t>
        </is>
      </c>
    </row>
    <row r="49">
      <c r="A49" s="8" t="inlineStr">
        <is>
          <t>A - Ataques intencionados</t>
        </is>
      </c>
      <c r="B49" s="8" t="inlineStr">
        <is>
          <t>A.19</t>
        </is>
      </c>
      <c r="C49" s="8" t="inlineStr">
        <is>
          <t>Divulgación de información</t>
        </is>
      </c>
      <c r="D49" s="8" t="inlineStr">
        <is>
          <t>Revelación deliberada y no autorizada de información a terceros.</t>
        </is>
      </c>
      <c r="E49" s="8" t="inlineStr">
        <is>
          <t>Clasificación y cifrado de la información, DLP y control de acceso basado en necesidad de conocer.</t>
        </is>
      </c>
    </row>
    <row r="50">
      <c r="A50" s="8" t="inlineStr">
        <is>
          <t>A - Ataques intencionados</t>
        </is>
      </c>
      <c r="B50" s="8" t="inlineStr">
        <is>
          <t>A.22</t>
        </is>
      </c>
      <c r="C50" s="8" t="inlineStr">
        <is>
          <t>Manipulación de programas</t>
        </is>
      </c>
      <c r="D50" s="8" t="inlineStr">
        <is>
          <t>Inclusión deliberada de código malicioso en aplicaciones (troyanos, bombas lógicas, puertas traseras).</t>
        </is>
      </c>
      <c r="E50" s="8" t="inlineStr">
        <is>
          <t>Control de integridad de código, firma de binarios, y revisión de código y control de cambios.</t>
        </is>
      </c>
    </row>
    <row r="51">
      <c r="A51" s="8" t="inlineStr">
        <is>
          <t>A - Ataques intencionados</t>
        </is>
      </c>
      <c r="B51" s="8" t="inlineStr">
        <is>
          <t>A.23</t>
        </is>
      </c>
      <c r="C51" s="8" t="inlineStr">
        <is>
          <t>Manipulación de los equipos</t>
        </is>
      </c>
      <c r="D51" s="8" t="inlineStr">
        <is>
          <t>Alteración física deliberada de los equipos (hardware) para comprometer su funcionamiento.</t>
        </is>
      </c>
      <c r="E51" s="8" t="inlineStr">
        <is>
          <t>Control de acceso físico, sellos de seguridad e inventario con verificación de integridad del hardware.</t>
        </is>
      </c>
    </row>
    <row r="52">
      <c r="A52" s="8" t="inlineStr">
        <is>
          <t>A - Ataques intencionados</t>
        </is>
      </c>
      <c r="B52" s="8" t="inlineStr">
        <is>
          <t>A.24</t>
        </is>
      </c>
      <c r="C52" s="8" t="inlineStr">
        <is>
          <t>Denegación de servicio</t>
        </is>
      </c>
      <c r="D52" s="8" t="inlineStr">
        <is>
          <t>Ataque destinado a impedir o degradar el acceso a un servicio (DoS/DDoS).</t>
        </is>
      </c>
      <c r="E52" s="8" t="inlineStr">
        <is>
          <t>Protección anti-DDoS, dimensionamiento y redundancia, y planes de respuesta a incidentes.</t>
        </is>
      </c>
    </row>
    <row r="53">
      <c r="A53" s="8" t="inlineStr">
        <is>
          <t>A - Ataques intencionados</t>
        </is>
      </c>
      <c r="B53" s="8" t="inlineStr">
        <is>
          <t>A.25</t>
        </is>
      </c>
      <c r="C53" s="8" t="inlineStr">
        <is>
          <t>Robo</t>
        </is>
      </c>
      <c r="D53" s="8" t="inlineStr">
        <is>
          <t>Sustracción física de equipos o soportes de información.</t>
        </is>
      </c>
      <c r="E53" s="8" t="inlineStr">
        <is>
          <t>Control de acceso físico, cifrado de disco completo e inventario/trazabilidad de activos.</t>
        </is>
      </c>
    </row>
    <row r="54">
      <c r="A54" s="8" t="inlineStr">
        <is>
          <t>A - Ataques intencionados</t>
        </is>
      </c>
      <c r="B54" s="8" t="inlineStr">
        <is>
          <t>A.26</t>
        </is>
      </c>
      <c r="C54" s="8" t="inlineStr">
        <is>
          <t>Ataque destructivo</t>
        </is>
      </c>
      <c r="D54" s="8" t="inlineStr">
        <is>
          <t>Vandalismo o sabotaje deliberado con intención de dañar instalaciones o equipos.</t>
        </is>
      </c>
      <c r="E54" s="8" t="inlineStr">
        <is>
          <t>Seguridad física perimetral, videovigilancia, control de acceso y planes de continuidad.</t>
        </is>
      </c>
    </row>
    <row r="55">
      <c r="A55" s="8" t="inlineStr">
        <is>
          <t>A - Ataques intencionados</t>
        </is>
      </c>
      <c r="B55" s="8" t="inlineStr">
        <is>
          <t>A.27</t>
        </is>
      </c>
      <c r="C55" s="8" t="inlineStr">
        <is>
          <t>Ocupación enemiga</t>
        </is>
      </c>
      <c r="D55" s="8" t="inlineStr">
        <is>
          <t>Toma de control físico de las instalaciones por parte de terceros no autorizados (p. ej. en contextos de conflicto o disturbios).</t>
        </is>
      </c>
      <c r="E55" s="8" t="inlineStr">
        <is>
          <t>Planes de continuidad de negocio, ubicaciones alternativas y coordinación con seguridad física y autoridades.</t>
        </is>
      </c>
    </row>
    <row r="56">
      <c r="A56" s="8" t="inlineStr">
        <is>
          <t>A - Ataques intencionados</t>
        </is>
      </c>
      <c r="B56" s="8" t="inlineStr">
        <is>
          <t>A.28</t>
        </is>
      </c>
      <c r="C56" s="8" t="inlineStr">
        <is>
          <t>Indisponibilidad del personal (intencionada)</t>
        </is>
      </c>
      <c r="D56" s="8" t="inlineStr">
        <is>
          <t>Ausencia deliberada o coacción del personal necesario para la operación (huelgas, coacción, secuestro, etc.).</t>
        </is>
      </c>
      <c r="E56" s="8" t="inlineStr">
        <is>
          <t>Planes de continuidad de personal, documentación de procesos y protocolos de seguridad del personal clave.</t>
        </is>
      </c>
    </row>
    <row r="57">
      <c r="A57" s="8" t="inlineStr">
        <is>
          <t>A - Ataques intencionados</t>
        </is>
      </c>
      <c r="B57" s="8" t="inlineStr">
        <is>
          <t>A.29</t>
        </is>
      </c>
      <c r="C57" s="8" t="inlineStr">
        <is>
          <t>Extorsión</t>
        </is>
      </c>
      <c r="D57" s="8" t="inlineStr">
        <is>
          <t>Presión mediante amenazas (incluido el ransomware) para obtener beneficio o forzar una acción.</t>
        </is>
      </c>
      <c r="E57" s="8" t="inlineStr">
        <is>
          <t>Planes de respuesta a incidentes de ransomware/extorsión, copias de seguridad offline y asesoría legal y de crisis.</t>
        </is>
      </c>
    </row>
    <row r="58">
      <c r="A58" s="8" t="inlineStr">
        <is>
          <t>A - Ataques intencionados</t>
        </is>
      </c>
      <c r="B58" s="8" t="inlineStr">
        <is>
          <t>A.30</t>
        </is>
      </c>
      <c r="C58" s="8" t="inlineStr">
        <is>
          <t>Ingeniería social</t>
        </is>
      </c>
      <c r="D58" s="8" t="inlineStr">
        <is>
          <t>Manipulación psicológica de las personas para obtener información o acceso (phishing, vishing, pretexting, etc.).</t>
        </is>
      </c>
      <c r="E58" s="8" t="inlineStr">
        <is>
          <t>Formación y concienciación continua, simulacros de phishing y verificación de identidad en procesos sensibles.</t>
        </is>
      </c>
    </row>
    <row r="59">
      <c r="A59" s="8" t="inlineStr">
        <is>
          <t>S - Cadena de suministro</t>
        </is>
      </c>
      <c r="B59" s="8" t="inlineStr">
        <is>
          <t>S.1</t>
        </is>
      </c>
      <c r="C59" s="8" t="inlineStr">
        <is>
          <t>Compromiso de un proveedor de software o hardware</t>
        </is>
      </c>
      <c r="D59" s="8" t="inlineStr">
        <is>
          <t>Un proveedor es comprometido por un atacante, que utiliza su posición de confianza para atacar a sus clientes (ataque a la cadena de suministro).</t>
        </is>
      </c>
      <c r="E59" s="8" t="inlineStr">
        <is>
          <t>Evaluación y homologación de proveedores, cláusulas de seguridad contractuales y monitorización de indicadores de compromiso en componentes de terceros.</t>
        </is>
      </c>
    </row>
    <row r="60">
      <c r="A60" s="8" t="inlineStr">
        <is>
          <t>S - Cadena de suministro</t>
        </is>
      </c>
      <c r="B60" s="8" t="inlineStr">
        <is>
          <t>S.2</t>
        </is>
      </c>
      <c r="C60" s="8" t="inlineStr">
        <is>
          <t>Componentes falsificados o manipulados</t>
        </is>
      </c>
      <c r="D60" s="8" t="inlineStr">
        <is>
          <t>Introducción de hardware o software falsificado, adulterado o con componentes no originales en la cadena de suministro.</t>
        </is>
      </c>
      <c r="E60" s="8" t="inlineStr">
        <is>
          <t>Verificación de origen y autenticidad (firma, hologramas, hash) y auditoría de proveedores y distribuidores autorizados.</t>
        </is>
      </c>
    </row>
    <row r="61">
      <c r="A61" s="8" t="inlineStr">
        <is>
          <t>S - Cadena de suministro</t>
        </is>
      </c>
      <c r="B61" s="8" t="inlineStr">
        <is>
          <t>S.3</t>
        </is>
      </c>
      <c r="C61" s="8" t="inlineStr">
        <is>
          <t>Actualización o parche malicioso</t>
        </is>
      </c>
      <c r="D61" s="8" t="inlineStr">
        <is>
          <t>Compromiso del mecanismo de actualización/distribución de software para propagar código malicioso a los clientes.</t>
        </is>
      </c>
      <c r="E61" s="8" t="inlineStr">
        <is>
          <t>Firma y verificación criptográfica de actualizaciones, entornos de prueba previos al despliegue y monitorización de comportamiento tras actualizar.</t>
        </is>
      </c>
    </row>
    <row r="62">
      <c r="A62" s="8" t="inlineStr">
        <is>
          <t>S - Cadena de suministro</t>
        </is>
      </c>
      <c r="B62" s="8" t="inlineStr">
        <is>
          <t>S.4</t>
        </is>
      </c>
      <c r="C62" s="8" t="inlineStr">
        <is>
          <t>Vulnerabilidades en componentes de terceros</t>
        </is>
      </c>
      <c r="D62" s="8" t="inlineStr">
        <is>
          <t>Uso de librerías, paquetes o componentes de terceros (incluido software de código abierto) con vulnerabilidades conocidas o no corregidas.</t>
        </is>
      </c>
      <c r="E62" s="8" t="inlineStr">
        <is>
          <t>Inventario de componentes (SBOM), análisis de composición de software (SCA) y gestión de vulnerabilidades de terceros.</t>
        </is>
      </c>
    </row>
    <row r="63">
      <c r="A63" s="8" t="inlineStr">
        <is>
          <t>S - Cadena de suministro</t>
        </is>
      </c>
      <c r="B63" s="8" t="inlineStr">
        <is>
          <t>S.5</t>
        </is>
      </c>
      <c r="C63" s="8" t="inlineStr">
        <is>
          <t>Interrupción del servicio de un proveedor crítico</t>
        </is>
      </c>
      <c r="D63" s="8" t="inlineStr">
        <is>
          <t>Indisponibilidad de un proveedor externo esencial (nube, telecomunicaciones, servicios gestionados) que afecta a la continuidad del negocio.</t>
        </is>
      </c>
      <c r="E63" s="8" t="inlineStr">
        <is>
          <t>Análisis de dependencias críticas, cláusulas de nivel de servicio (SLA), y planes de contingencia y proveedores alternativos.</t>
        </is>
      </c>
    </row>
    <row r="64">
      <c r="A64" s="8" t="inlineStr">
        <is>
          <t>S - Cadena de suministro</t>
        </is>
      </c>
      <c r="B64" s="8" t="inlineStr">
        <is>
          <t>S.6</t>
        </is>
      </c>
      <c r="C64" s="8" t="inlineStr">
        <is>
          <t>Fuga o exposición de información por un proveedor o subcontratista</t>
        </is>
      </c>
      <c r="D64" s="8" t="inlineStr">
        <is>
          <t>Un proveedor o subcontratista expone o filtra información de la organización a la que tiene acceso.</t>
        </is>
      </c>
      <c r="E64" s="8" t="inlineStr">
        <is>
          <t>Cláusulas contractuales de confidencialidad y protección de datos, auditorías de seguridad a proveedores y mínimo privilegio en los accesos concedidos.</t>
        </is>
      </c>
    </row>
    <row r="65">
      <c r="A65" s="8" t="inlineStr">
        <is>
          <t>S - Cadena de suministro</t>
        </is>
      </c>
      <c r="B65" s="8" t="inlineStr">
        <is>
          <t>S.7</t>
        </is>
      </c>
      <c r="C65" s="8" t="inlineStr">
        <is>
          <t>Incumplimiento contractual, normativo o de nivel de servicio del proveedor</t>
        </is>
      </c>
      <c r="D65" s="8" t="inlineStr">
        <is>
          <t>El proveedor no cumple con los requisitos de seguridad, privacidad o niveles de servicio pactados.</t>
        </is>
      </c>
      <c r="E65" s="8" t="inlineStr">
        <is>
          <t>Auditorías periódicas, derecho de auditoría contractual e indicadores de cumplimiento (KPI/KRI) con penalizaciones.</t>
        </is>
      </c>
    </row>
    <row r="66">
      <c r="A66" s="8" t="inlineStr">
        <is>
          <t>S - Cadena de suministro</t>
        </is>
      </c>
      <c r="B66" s="8" t="inlineStr">
        <is>
          <t>S.8</t>
        </is>
      </c>
      <c r="C66" s="8" t="inlineStr">
        <is>
          <t>Concentración de riesgo por dependencia de un único proveedor</t>
        </is>
      </c>
      <c r="D66" s="8" t="inlineStr">
        <is>
          <t>Dependencia excesiva de un único proveedor crítico, o de un único país o región, sin alternativas viables.</t>
        </is>
      </c>
      <c r="E66" s="8" t="inlineStr">
        <is>
          <t>Estrategias de diversificación de proveedores, análisis de concentración de riesgo y planes de salida (exit plan).</t>
        </is>
      </c>
    </row>
    <row r="67">
      <c r="A67" s="8" t="inlineStr">
        <is>
          <t>S - Cadena de suministro</t>
        </is>
      </c>
      <c r="B67" s="8" t="inlineStr">
        <is>
          <t>S.9</t>
        </is>
      </c>
      <c r="C67" s="8" t="inlineStr">
        <is>
          <t>Compromiso de la cadena de suministro en la nube</t>
        </is>
      </c>
      <c r="D67" s="8" t="inlineStr">
        <is>
          <t>Compromiso de un proveedor de servicios en la nube (IaaS/PaaS/SaaS) o de sus subcontratistas que afecta a los clientes.</t>
        </is>
      </c>
      <c r="E67" s="8" t="inlineStr">
        <is>
          <t>Revisión de certificaciones del proveedor (ISO 27001, SOC 2, ENS, etc.), cifrado con claves propias y arquitectura multicloud o de salida planificada.</t>
        </is>
      </c>
    </row>
    <row r="68">
      <c r="A68" s="8" t="inlineStr">
        <is>
          <t>S - Cadena de suministro</t>
        </is>
      </c>
      <c r="B68" s="8" t="inlineStr">
        <is>
          <t>S.10</t>
        </is>
      </c>
      <c r="C68" s="8" t="inlineStr">
        <is>
          <t>Puertas traseras (backdoors) en productos suministrados</t>
        </is>
      </c>
      <c r="D68" s="8" t="inlineStr">
        <is>
          <t>Inclusión deliberada de accesos ocultos en productos hardware o software suministrados por terceros.</t>
        </is>
      </c>
      <c r="E68" s="8" t="inlineStr">
        <is>
          <t>Análisis de código y firmware, pruebas de penetración a productos críticos y cláusulas de transparencia/auditoría del código fuente.</t>
        </is>
      </c>
    </row>
    <row r="69">
      <c r="A69" s="8" t="inlineStr">
        <is>
          <t>S - Cadena de suministro</t>
        </is>
      </c>
      <c r="B69" s="8" t="inlineStr">
        <is>
          <t>S.11</t>
        </is>
      </c>
      <c r="C69" s="8" t="inlineStr">
        <is>
          <t>Fin de soporte o descontinuación de un producto/proveedor</t>
        </is>
      </c>
      <c r="D69" s="8" t="inlineStr">
        <is>
          <t>Obsolescencia, fin de vida (EOL) o desaparición de un proveedor que deja componentes críticos sin mantenimiento ni parches de seguridad.</t>
        </is>
      </c>
      <c r="E69" s="8" t="inlineStr">
        <is>
          <t>Gestión del ciclo de vida de proveedores y productos, planes de migración anticipados y cláusulas de continuidad/depósito de código fuente (escrow).</t>
        </is>
      </c>
    </row>
    <row r="70">
      <c r="A70" s="8" t="inlineStr">
        <is>
          <t>S - Cadena de suministro</t>
        </is>
      </c>
      <c r="B70" s="8" t="inlineStr">
        <is>
          <t>S.12</t>
        </is>
      </c>
      <c r="C70" s="8" t="inlineStr">
        <is>
          <t>Ataque a través de accesos remotos concedidos a proveedores</t>
        </is>
      </c>
      <c r="D70" s="8" t="inlineStr">
        <is>
          <t>Un atacante utiliza credenciales o accesos remotos legítimos concedidos a un proveedor de mantenimiento para comprometer los sistemas.</t>
        </is>
      </c>
      <c r="E70" s="8" t="inlineStr">
        <is>
          <t>Accesos remotos de proveedores con MFA, sesiones supervisadas y grabadas, mínimo privilegio y revocación inmediata al finalizar el servicio.</t>
        </is>
      </c>
    </row>
    <row r="71">
      <c r="A71" s="8" t="inlineStr">
        <is>
          <t>IA - Riesgos de Inteligencia Artificial</t>
        </is>
      </c>
      <c r="B71" s="8" t="inlineStr">
        <is>
          <t>IA.1</t>
        </is>
      </c>
      <c r="C71" s="8" t="inlineStr">
        <is>
          <t>Envenenamiento de datos de entrenamiento (data poisoning)</t>
        </is>
      </c>
      <c r="D71" s="8" t="inlineStr">
        <is>
          <t>Manipulación deliberada de los datos utilizados para entrenar o reentrenar un modelo de IA, degradando su comportamiento o introduciendo sesgos o puertas traseras.</t>
        </is>
      </c>
      <c r="E71" s="8" t="inlineStr">
        <is>
          <t>Validación y control de procedencia (linaje) de los conjuntos de datos de entrenamiento, detección de anomalías en los datos y entornos de entrenamiento aislados.</t>
        </is>
      </c>
    </row>
    <row r="72">
      <c r="A72" s="8" t="inlineStr">
        <is>
          <t>IA - Riesgos de Inteligencia Artificial</t>
        </is>
      </c>
      <c r="B72" s="8" t="inlineStr">
        <is>
          <t>IA.2</t>
        </is>
      </c>
      <c r="C72" s="8" t="inlineStr">
        <is>
          <t>Manipulación o puerta trasera del modelo (model backdoor/tampering)</t>
        </is>
      </c>
      <c r="D72" s="8" t="inlineStr">
        <is>
          <t>Alteración deliberada de los parámetros o pesos de un modelo para que se comporte de forma anómala ante determinadas entradas (trigger).</t>
        </is>
      </c>
      <c r="E72" s="8" t="inlineStr">
        <is>
          <t>Verificación de integridad (hash/firma) de los modelos, control de acceso a los repositorios de modelos y pruebas de robustez antes del despliegue.</t>
        </is>
      </c>
    </row>
    <row r="73">
      <c r="A73" s="8" t="inlineStr">
        <is>
          <t>IA - Riesgos de Inteligencia Artificial</t>
        </is>
      </c>
      <c r="B73" s="8" t="inlineStr">
        <is>
          <t>IA.3</t>
        </is>
      </c>
      <c r="C73" s="8" t="inlineStr">
        <is>
          <t>Inyección de instrucciones (prompt injection)</t>
        </is>
      </c>
      <c r="D73" s="8" t="inlineStr">
        <is>
          <t>Manipulación de las entradas de un sistema de IA generativa, directa o indirecta (vía documentos, webs o herramientas conectadas), para alterar su comportamiento, eludir controles o exfiltrar información.</t>
        </is>
      </c>
      <c r="E73" s="8" t="inlineStr">
        <is>
          <t>Separación entre instrucciones de sistema y datos de usuario, filtrado y validación de entradas/salidas, y mínimo privilegio para las herramientas que el modelo puede invocar.</t>
        </is>
      </c>
    </row>
    <row r="74">
      <c r="A74" s="8" t="inlineStr">
        <is>
          <t>IA - Riesgos de Inteligencia Artificial</t>
        </is>
      </c>
      <c r="B74" s="8" t="inlineStr">
        <is>
          <t>IA.4</t>
        </is>
      </c>
      <c r="C74" s="8" t="inlineStr">
        <is>
          <t>Fuga de información a través del modelo</t>
        </is>
      </c>
      <c r="D74" s="8" t="inlineStr">
        <is>
          <t>Extracción de información sensible o de datos de entrenamiento a partir de las respuestas del modelo (inversión de modelo, inferencia de pertenencia, memorización).</t>
        </is>
      </c>
      <c r="E74" s="8" t="inlineStr">
        <is>
          <t>Anonimización/minimización de los datos de entrenamiento, filtrado de salidas, y límites de tasa y monitorización de consultas sospechosas.</t>
        </is>
      </c>
    </row>
    <row r="75">
      <c r="A75" s="8" t="inlineStr">
        <is>
          <t>IA - Riesgos de Inteligencia Artificial</t>
        </is>
      </c>
      <c r="B75" s="8" t="inlineStr">
        <is>
          <t>IA.5</t>
        </is>
      </c>
      <c r="C75" s="8" t="inlineStr">
        <is>
          <t>Alucinaciones y resultados incorrectos o no verificados</t>
        </is>
      </c>
      <c r="D75" s="8" t="inlineStr">
        <is>
          <t>El sistema de IA genera respuestas plausibles pero falsas o inexactas, que son utilizadas sin validación en la toma de decisiones.</t>
        </is>
      </c>
      <c r="E75" s="8" t="inlineStr">
        <is>
          <t>Supervisión humana en decisiones relevantes (human-in-the-loop), verificación de fuentes, e indicadores de confianza y trazabilidad de las respuestas.</t>
        </is>
      </c>
    </row>
    <row r="76">
      <c r="A76" s="8" t="inlineStr">
        <is>
          <t>IA - Riesgos de Inteligencia Artificial</t>
        </is>
      </c>
      <c r="B76" s="8" t="inlineStr">
        <is>
          <t>IA.6</t>
        </is>
      </c>
      <c r="C76" s="8" t="inlineStr">
        <is>
          <t>Sesgo y discriminación algorítmica</t>
        </is>
      </c>
      <c r="D76" s="8" t="inlineStr">
        <is>
          <t>El modelo produce resultados sistemáticamente sesgados o discriminatorios debido a los datos de entrenamiento o al diseño del algoritmo.</t>
        </is>
      </c>
      <c r="E76" s="8" t="inlineStr">
        <is>
          <t>Auditorías de sesgo e imparcialidad, evaluación de impacto del sistema de IA, y diversidad y representatividad de los datos de entrenamiento.</t>
        </is>
      </c>
    </row>
    <row r="77">
      <c r="A77" s="8" t="inlineStr">
        <is>
          <t>IA - Riesgos de Inteligencia Artificial</t>
        </is>
      </c>
      <c r="B77" s="8" t="inlineStr">
        <is>
          <t>IA.7</t>
        </is>
      </c>
      <c r="C77" s="8" t="inlineStr">
        <is>
          <t>Cadena de suministro de IA no confiable</t>
        </is>
      </c>
      <c r="D77" s="8" t="inlineStr">
        <is>
          <t>Uso de modelos preentrenados, conjuntos de datos o componentes de terceros (incluidos proveedores de servicios de IA en la nube) con origen no verificado o comprometido.</t>
        </is>
      </c>
      <c r="E77" s="8" t="inlineStr">
        <is>
          <t>Evaluación y homologación de proveedores y modelos de terceros, verificación de procedencia y licencias, y análisis de seguridad antes de la integración.</t>
        </is>
      </c>
    </row>
    <row r="78">
      <c r="A78" s="8" t="inlineStr">
        <is>
          <t>IA - Riesgos de Inteligencia Artificial</t>
        </is>
      </c>
      <c r="B78" s="8" t="inlineStr">
        <is>
          <t>IA.8</t>
        </is>
      </c>
      <c r="C78" s="8" t="inlineStr">
        <is>
          <t>Robo o extracción del modelo</t>
        </is>
      </c>
      <c r="D78" s="8" t="inlineStr">
        <is>
          <t>Un atacante reconstruye o extrae un modelo propio, o su funcionalidad, mediante consultas masivas al servicio (model extraction/stealing).</t>
        </is>
      </c>
      <c r="E78" s="8" t="inlineStr">
        <is>
          <t>Limitación de tasa y monitorización de patrones de consulta anómalos, marcas de agua (watermarking) del modelo, y control de acceso a la API.</t>
        </is>
      </c>
    </row>
    <row r="79">
      <c r="A79" s="8" t="inlineStr">
        <is>
          <t>IA - Riesgos de Inteligencia Artificial</t>
        </is>
      </c>
      <c r="B79" s="8" t="inlineStr">
        <is>
          <t>IA.9</t>
        </is>
      </c>
      <c r="C79" s="8" t="inlineStr">
        <is>
          <t>Ataques adversarios (evasion attacks)</t>
        </is>
      </c>
      <c r="D79" s="8" t="inlineStr">
        <is>
          <t>Entradas cuidadosamente manipuladas (imágenes, texto, etc.) diseñadas para engañar al modelo y provocar una clasificación o decisión incorrecta.</t>
        </is>
      </c>
      <c r="E79" s="8" t="inlineStr">
        <is>
          <t>Entrenamiento adversarial y pruebas de robustez (red teaming de IA), validación de entradas y monitorización de resultados inesperados.</t>
        </is>
      </c>
    </row>
    <row r="80">
      <c r="A80" s="8" t="inlineStr">
        <is>
          <t>IA - Riesgos de Inteligencia Artificial</t>
        </is>
      </c>
      <c r="B80" s="8" t="inlineStr">
        <is>
          <t>IA.10</t>
        </is>
      </c>
      <c r="C80" s="8" t="inlineStr">
        <is>
          <t>Uso no autorizado de IA por el personal (shadow AI)</t>
        </is>
      </c>
      <c r="D80" s="8" t="inlineStr">
        <is>
          <t>Empleados utilizan herramientas de IA generativa no aprobadas ni controladas por la organización, con posible fuga de información confidencial.</t>
        </is>
      </c>
      <c r="E80" s="8" t="inlineStr">
        <is>
          <t>Política de uso aceptable de IA, catálogo de herramientas aprobadas, soluciones de IA corporativas seguras y concienciación del personal.</t>
        </is>
      </c>
    </row>
    <row r="81">
      <c r="A81" s="8" t="inlineStr">
        <is>
          <t>IA - Riesgos de Inteligencia Artificial</t>
        </is>
      </c>
      <c r="B81" s="8" t="inlineStr">
        <is>
          <t>IA.11</t>
        </is>
      </c>
      <c r="C81" s="8" t="inlineStr">
        <is>
          <t>Dependencia excesiva / automatización sin supervisión humana</t>
        </is>
      </c>
      <c r="D81" s="8" t="inlineStr">
        <is>
          <t>Delegación de decisiones críticas en sistemas de IA sin mecanismos adecuados de supervisión, revisión o capacidad de intervención humana.</t>
        </is>
      </c>
      <c r="E81" s="8" t="inlineStr">
        <is>
          <t>Definición de niveles de autonomía según criticidad, supervisión humana obligatoria en decisiones de alto impacto y planes de reversión (rollback) manual.</t>
        </is>
      </c>
    </row>
    <row r="82">
      <c r="A82" s="8" t="inlineStr">
        <is>
          <t>IA - Riesgos de Inteligencia Artificial</t>
        </is>
      </c>
      <c r="B82" s="8" t="inlineStr">
        <is>
          <t>IA.12</t>
        </is>
      </c>
      <c r="C82" s="8" t="inlineStr">
        <is>
          <t>Incumplimiento normativo en el uso de IA</t>
        </is>
      </c>
      <c r="D82" s="8" t="inlineStr">
        <is>
          <t>Uso de sistemas de IA sin cumplir la normativa aplicable (p. ej. Reglamento (UE) de Inteligencia Artificial, RGPD) en cuanto a transparencia, evaluación de riesgos o derechos de los afectados.</t>
        </is>
      </c>
      <c r="E82" s="8" t="inlineStr">
        <is>
          <t>Clasificación de los sistemas de IA según el Reglamento de IA de la UE, evaluación de impacto en la protección de datos (EIPD) y de conformidad, y registro/documentación técnica.</t>
        </is>
      </c>
    </row>
    <row r="83">
      <c r="A83" s="8" t="inlineStr">
        <is>
          <t>IA - Riesgos de Inteligencia Artificial</t>
        </is>
      </c>
      <c r="B83" s="8" t="inlineStr">
        <is>
          <t>IA.13</t>
        </is>
      </c>
      <c r="C83" s="8" t="inlineStr">
        <is>
          <t>Degradación del modelo por deriva de datos (model/data drift)</t>
        </is>
      </c>
      <c r="D83" s="8" t="inlineStr">
        <is>
          <t>El rendimiento del modelo se degrada con el tiempo porque los datos reales dejan de corresponder a los datos de entrenamiento.</t>
        </is>
      </c>
      <c r="E83" s="8" t="inlineStr">
        <is>
          <t>Monitorización continua del rendimiento del modelo en producción, reentrenamiento periódico y alertas ante degradación de métricas.</t>
        </is>
      </c>
    </row>
    <row r="84">
      <c r="A84" s="8" t="inlineStr">
        <is>
          <t>IA - Riesgos de Inteligencia Artificial</t>
        </is>
      </c>
      <c r="B84" s="8" t="inlineStr">
        <is>
          <t>IA.14</t>
        </is>
      </c>
      <c r="C84" s="8" t="inlineStr">
        <is>
          <t>Denegación de servicio del modelo</t>
        </is>
      </c>
      <c r="D84" s="8" t="inlineStr">
        <is>
          <t>Consultas diseñadas para consumir recursos computacionales excesivos (p. ej. «sponge examples») o saturar la capacidad del servicio de IA.</t>
        </is>
      </c>
      <c r="E84" s="8" t="inlineStr">
        <is>
          <t>Límites de tasa y de coste computacional por consulta, monitorización de consumo de recursos, y dimensionamiento y cuotas de uso.</t>
        </is>
      </c>
    </row>
  </sheetData>
  <autoFilter ref="A1:E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70" customWidth="1" min="3" max="3"/>
    <col width="70" customWidth="1" min="4" max="4"/>
    <col width="14" customWidth="1" min="5" max="5"/>
  </cols>
  <sheetData>
    <row r="1" ht="24" customHeight="1">
      <c r="A1" s="1" t="inlineStr">
        <is>
          <t>ESCALAS DE VALORACIÓN Y MATRIZ DE RIESGO - MAGERIT</t>
        </is>
      </c>
    </row>
    <row r="3">
      <c r="A3" s="4" t="inlineStr">
        <is>
          <t>Escala de Frecuencia (probabilidad de ocurrencia)</t>
        </is>
      </c>
    </row>
    <row r="4">
      <c r="A4" s="7" t="inlineStr">
        <is>
          <t>Abrev.</t>
        </is>
      </c>
      <c r="B4" s="7" t="inlineStr">
        <is>
          <t>Nombre</t>
        </is>
      </c>
      <c r="C4" s="7" t="inlineStr">
        <is>
          <t>Descripción</t>
        </is>
      </c>
    </row>
    <row r="5">
      <c r="A5" s="8" t="inlineStr">
        <is>
          <t>MB</t>
        </is>
      </c>
      <c r="B5" s="8" t="inlineStr">
        <is>
          <t>Muy baja</t>
        </is>
      </c>
      <c r="C5" s="8" t="inlineStr">
        <is>
          <t>Muy poco frecuente: se estima que puede ocurrir cada varios años (frecuencia extraordinaria).</t>
        </is>
      </c>
    </row>
    <row r="6">
      <c r="A6" s="8" t="inlineStr">
        <is>
          <t>B</t>
        </is>
      </c>
      <c r="B6" s="8" t="inlineStr">
        <is>
          <t>Baja</t>
        </is>
      </c>
      <c r="C6" s="8" t="inlineStr">
        <is>
          <t>Poco frecuente: se estima que puede ocurrir una vez al año.</t>
        </is>
      </c>
    </row>
    <row r="7">
      <c r="A7" s="8" t="inlineStr">
        <is>
          <t>M</t>
        </is>
      </c>
      <c r="B7" s="8" t="inlineStr">
        <is>
          <t>Media</t>
        </is>
      </c>
      <c r="C7" s="8" t="inlineStr">
        <is>
          <t>Frecuencia normal: se estima que puede ocurrir varias veces al año.</t>
        </is>
      </c>
    </row>
    <row r="8">
      <c r="A8" s="8" t="inlineStr">
        <is>
          <t>A</t>
        </is>
      </c>
      <c r="B8" s="8" t="inlineStr">
        <is>
          <t>Alta</t>
        </is>
      </c>
      <c r="C8" s="8" t="inlineStr">
        <is>
          <t>Frecuente: se estima que puede ocurrir mensualmente.</t>
        </is>
      </c>
    </row>
    <row r="9">
      <c r="A9" s="8" t="inlineStr">
        <is>
          <t>MA</t>
        </is>
      </c>
      <c r="B9" s="8" t="inlineStr">
        <is>
          <t>Muy alta</t>
        </is>
      </c>
      <c r="C9" s="8" t="inlineStr">
        <is>
          <t>Muy frecuente: se estima que puede ocurrir semanal o diariamente.</t>
        </is>
      </c>
    </row>
    <row r="12">
      <c r="A12" s="4" t="inlineStr">
        <is>
          <t>Escala de Degradación / Impacto</t>
        </is>
      </c>
    </row>
    <row r="13">
      <c r="A13" s="7" t="inlineStr">
        <is>
          <t>Abrev.</t>
        </is>
      </c>
      <c r="B13" s="7" t="inlineStr">
        <is>
          <t>Nombre</t>
        </is>
      </c>
      <c r="C13" s="7" t="inlineStr">
        <is>
          <t>Descripción</t>
        </is>
      </c>
    </row>
    <row r="14">
      <c r="A14" s="8" t="inlineStr">
        <is>
          <t>MB</t>
        </is>
      </c>
      <c r="B14" s="8" t="inlineStr">
        <is>
          <t>Muy bajo</t>
        </is>
      </c>
      <c r="C14" s="8" t="inlineStr">
        <is>
          <t>Degradación irrelevante del activo/dimensión de seguridad; consecuencias despreciables para la organización.</t>
        </is>
      </c>
    </row>
    <row r="15">
      <c r="A15" s="8" t="inlineStr">
        <is>
          <t>B</t>
        </is>
      </c>
      <c r="B15" s="8" t="inlineStr">
        <is>
          <t>Bajo</t>
        </is>
      </c>
      <c r="C15" s="8" t="inlineStr">
        <is>
          <t>Degradación limitada; consecuencias menores, asumibles sin apenas gestión.</t>
        </is>
      </c>
    </row>
    <row r="16">
      <c r="A16" s="8" t="inlineStr">
        <is>
          <t>M</t>
        </is>
      </c>
      <c r="B16" s="8" t="inlineStr">
        <is>
          <t>Medio</t>
        </is>
      </c>
      <c r="C16" s="8" t="inlineStr">
        <is>
          <t>Degradación significativa; consecuencias notables que requieren gestión activa.</t>
        </is>
      </c>
    </row>
    <row r="17">
      <c r="A17" s="8" t="inlineStr">
        <is>
          <t>A</t>
        </is>
      </c>
      <c r="B17" s="8" t="inlineStr">
        <is>
          <t>Alto</t>
        </is>
      </c>
      <c r="C17" s="8" t="inlineStr">
        <is>
          <t>Degradación grave; consecuencias importantes, posible impacto legal/regulatorio o financiero relevante.</t>
        </is>
      </c>
    </row>
    <row r="18">
      <c r="A18" s="8" t="inlineStr">
        <is>
          <t>MA</t>
        </is>
      </c>
      <c r="B18" s="8" t="inlineStr">
        <is>
          <t>Muy alto</t>
        </is>
      </c>
      <c r="C18" s="8" t="inlineStr">
        <is>
          <t>Degradación total/catastrófica; consecuencias críticas para la continuidad, reputación o supervivencia de la organización.</t>
        </is>
      </c>
    </row>
    <row r="21">
      <c r="A21" s="4" t="inlineStr">
        <is>
          <t>Escala de Riesgo</t>
        </is>
      </c>
    </row>
    <row r="22">
      <c r="A22" s="7" t="inlineStr">
        <is>
          <t>Abrev.</t>
        </is>
      </c>
      <c r="B22" s="7" t="inlineStr">
        <is>
          <t>Nombre</t>
        </is>
      </c>
      <c r="C22" s="7" t="inlineStr">
        <is>
          <t>Descripción</t>
        </is>
      </c>
      <c r="D22" s="7" t="inlineStr">
        <is>
          <t>Valor</t>
        </is>
      </c>
    </row>
    <row r="23">
      <c r="A23" s="9" t="inlineStr">
        <is>
          <t>MB</t>
        </is>
      </c>
      <c r="B23" s="10" t="inlineStr">
        <is>
          <t>Riesgo muy bajo</t>
        </is>
      </c>
      <c r="C23" s="10" t="inlineStr">
        <is>
          <t>Riesgo muy bajo - asumible sin medidas adicionales.</t>
        </is>
      </c>
      <c r="D23" s="10" t="n">
        <v>0</v>
      </c>
    </row>
    <row r="24">
      <c r="A24" s="11" t="inlineStr">
        <is>
          <t>B</t>
        </is>
      </c>
      <c r="B24" s="12" t="inlineStr">
        <is>
          <t>Riesgo bajo</t>
        </is>
      </c>
      <c r="C24" s="12" t="inlineStr">
        <is>
          <t>Riesgo bajo - asumible, revisar periódicamente.</t>
        </is>
      </c>
      <c r="D24" s="12" t="n">
        <v>1</v>
      </c>
    </row>
    <row r="25">
      <c r="A25" s="13" t="inlineStr">
        <is>
          <t>M</t>
        </is>
      </c>
      <c r="B25" s="14" t="inlineStr">
        <is>
          <t>Riesgo medio</t>
        </is>
      </c>
      <c r="C25" s="14" t="inlineStr">
        <is>
          <t>Riesgo medio - requiere tratamiento planificado.</t>
        </is>
      </c>
      <c r="D25" s="14" t="n">
        <v>2</v>
      </c>
    </row>
    <row r="26">
      <c r="A26" s="15" t="inlineStr">
        <is>
          <t>A</t>
        </is>
      </c>
      <c r="B26" s="16" t="inlineStr">
        <is>
          <t>Riesgo alto</t>
        </is>
      </c>
      <c r="C26" s="16" t="inlineStr">
        <is>
          <t>Riesgo alto - inaceptable, requiere tratamiento prioritario.</t>
        </is>
      </c>
      <c r="D26" s="16" t="n">
        <v>3</v>
      </c>
    </row>
    <row r="27">
      <c r="A27" s="17" t="inlineStr">
        <is>
          <t>MA</t>
        </is>
      </c>
      <c r="B27" s="18" t="inlineStr">
        <is>
          <t>Riesgo muy alto</t>
        </is>
      </c>
      <c r="C27" s="18" t="inlineStr">
        <is>
          <t>Riesgo muy alto - inaceptable, requiere tratamiento inmediato / escalado a dirección.</t>
        </is>
      </c>
      <c r="D27" s="18" t="n">
        <v>4</v>
      </c>
    </row>
    <row r="30">
      <c r="A30" s="4" t="inlineStr">
        <is>
          <t>Matriz de riesgo (filas = Frecuencia, columnas = Degradación/Impacto)</t>
        </is>
      </c>
    </row>
    <row r="31">
      <c r="A31" s="19" t="inlineStr">
        <is>
          <t>Frecuencia \ Impacto</t>
        </is>
      </c>
      <c r="B31" s="20" t="inlineStr">
        <is>
          <t>MB</t>
        </is>
      </c>
      <c r="C31" s="20" t="inlineStr">
        <is>
          <t>B</t>
        </is>
      </c>
      <c r="D31" s="20" t="inlineStr">
        <is>
          <t>M</t>
        </is>
      </c>
      <c r="E31" s="20" t="inlineStr">
        <is>
          <t>A</t>
        </is>
      </c>
      <c r="F31" s="20" t="inlineStr">
        <is>
          <t>MA</t>
        </is>
      </c>
    </row>
    <row r="32">
      <c r="A32" s="20" t="inlineStr">
        <is>
          <t>MB</t>
        </is>
      </c>
      <c r="B32" s="21" t="inlineStr">
        <is>
          <t>MB</t>
        </is>
      </c>
      <c r="C32" s="21" t="inlineStr">
        <is>
          <t>MB</t>
        </is>
      </c>
      <c r="D32" s="22" t="inlineStr">
        <is>
          <t>B</t>
        </is>
      </c>
      <c r="E32" s="22" t="inlineStr">
        <is>
          <t>B</t>
        </is>
      </c>
      <c r="F32" s="22" t="inlineStr">
        <is>
          <t>B</t>
        </is>
      </c>
    </row>
    <row r="33">
      <c r="A33" s="20" t="inlineStr">
        <is>
          <t>B</t>
        </is>
      </c>
      <c r="B33" s="21" t="inlineStr">
        <is>
          <t>MB</t>
        </is>
      </c>
      <c r="C33" s="22" t="inlineStr">
        <is>
          <t>B</t>
        </is>
      </c>
      <c r="D33" s="22" t="inlineStr">
        <is>
          <t>B</t>
        </is>
      </c>
      <c r="E33" s="23" t="inlineStr">
        <is>
          <t>M</t>
        </is>
      </c>
      <c r="F33" s="23" t="inlineStr">
        <is>
          <t>M</t>
        </is>
      </c>
    </row>
    <row r="34">
      <c r="A34" s="20" t="inlineStr">
        <is>
          <t>M</t>
        </is>
      </c>
      <c r="B34" s="22" t="inlineStr">
        <is>
          <t>B</t>
        </is>
      </c>
      <c r="C34" s="22" t="inlineStr">
        <is>
          <t>B</t>
        </is>
      </c>
      <c r="D34" s="23" t="inlineStr">
        <is>
          <t>M</t>
        </is>
      </c>
      <c r="E34" s="24" t="inlineStr">
        <is>
          <t>A</t>
        </is>
      </c>
      <c r="F34" s="24" t="inlineStr">
        <is>
          <t>A</t>
        </is>
      </c>
    </row>
    <row r="35">
      <c r="A35" s="20" t="inlineStr">
        <is>
          <t>A</t>
        </is>
      </c>
      <c r="B35" s="22" t="inlineStr">
        <is>
          <t>B</t>
        </is>
      </c>
      <c r="C35" s="23" t="inlineStr">
        <is>
          <t>M</t>
        </is>
      </c>
      <c r="D35" s="24" t="inlineStr">
        <is>
          <t>A</t>
        </is>
      </c>
      <c r="E35" s="24" t="inlineStr">
        <is>
          <t>A</t>
        </is>
      </c>
      <c r="F35" s="25" t="inlineStr">
        <is>
          <t>MA</t>
        </is>
      </c>
    </row>
    <row r="36">
      <c r="A36" s="20" t="inlineStr">
        <is>
          <t>MA</t>
        </is>
      </c>
      <c r="B36" s="23" t="inlineStr">
        <is>
          <t>M</t>
        </is>
      </c>
      <c r="C36" s="24" t="inlineStr">
        <is>
          <t>A</t>
        </is>
      </c>
      <c r="D36" s="24" t="inlineStr">
        <is>
          <t>A</t>
        </is>
      </c>
      <c r="E36" s="25" t="inlineStr">
        <is>
          <t>MA</t>
        </is>
      </c>
      <c r="F36" s="25" t="inlineStr">
        <is>
          <t>MA</t>
        </is>
      </c>
    </row>
    <row r="38" ht="30" customHeight="1">
      <c r="A38" s="6" t="inlineStr">
        <is>
          <t>Nota: esta matriz es una adaptación cualitativa (escala MB/B/M/A/MA) del cálculo detallado de MAGERIT (riesgo = valor del activo x degradación x frecuencia), pensada para una valoración ágil y homogénea en este registro de riesgos.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2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 ht="34" customHeight="1">
      <c r="A1" s="7" t="inlineStr">
        <is>
          <t>ID</t>
        </is>
      </c>
      <c r="B1" s="7" t="inlineStr">
        <is>
          <t>Activo</t>
        </is>
      </c>
      <c r="C1" s="7" t="inlineStr">
        <is>
          <t>Tipo de activo</t>
        </is>
      </c>
      <c r="D1" s="7" t="inlineStr">
        <is>
          <t>Propietario / Responsable</t>
        </is>
      </c>
      <c r="E1" s="7" t="inlineStr">
        <is>
          <t>Descripción</t>
        </is>
      </c>
      <c r="F1" s="7" t="inlineStr">
        <is>
          <t>Valor D
(Disponibilidad)</t>
        </is>
      </c>
      <c r="G1" s="7" t="inlineStr">
        <is>
          <t>Valor I
(Integridad)</t>
        </is>
      </c>
      <c r="H1" s="7" t="inlineStr">
        <is>
          <t>Valor C
(Confidencialidad)</t>
        </is>
      </c>
      <c r="I1" s="7" t="inlineStr">
        <is>
          <t>Valor A
(Autenticidad)</t>
        </is>
      </c>
      <c r="J1" s="7" t="inlineStr">
        <is>
          <t>Valor T
(Trazabilidad)</t>
        </is>
      </c>
      <c r="K1" s="7" t="inlineStr">
        <is>
          <t>Valor global</t>
        </is>
      </c>
    </row>
    <row r="2">
      <c r="A2" s="26" t="inlineStr">
        <is>
          <t>AC-01</t>
        </is>
      </c>
      <c r="B2" s="27" t="inlineStr">
        <is>
          <t>Base de datos de clientes (CRM)</t>
        </is>
      </c>
      <c r="C2" s="27" t="inlineStr">
        <is>
          <t>Información / Datos</t>
        </is>
      </c>
      <c r="D2" s="27" t="inlineStr">
        <is>
          <t>Responsable de Sistemas</t>
        </is>
      </c>
      <c r="E2" s="27" t="inlineStr">
        <is>
          <t>Datos personales y contractuales de clientes</t>
        </is>
      </c>
      <c r="F2" s="28" t="n">
        <v>8</v>
      </c>
      <c r="G2" s="28" t="n">
        <v>8</v>
      </c>
      <c r="H2" s="28" t="n">
        <v>9</v>
      </c>
      <c r="I2" s="28" t="n">
        <v>6</v>
      </c>
      <c r="J2" s="28" t="n">
        <v>6</v>
      </c>
      <c r="K2" s="29">
        <f>MAX(F2:J2)</f>
        <v/>
      </c>
    </row>
    <row r="3">
      <c r="A3" s="26" t="inlineStr">
        <is>
          <t>AC-02</t>
        </is>
      </c>
      <c r="B3" s="27" t="inlineStr">
        <is>
          <t>Servidor de aplicaciones de producción</t>
        </is>
      </c>
      <c r="C3" s="27" t="inlineStr">
        <is>
          <t>Hardware / Equipamiento</t>
        </is>
      </c>
      <c r="D3" s="27" t="inlineStr">
        <is>
          <t>Responsable de Infraestructura</t>
        </is>
      </c>
      <c r="E3" s="27" t="inlineStr">
        <is>
          <t>Servidor físico/virtual que aloja las aplicaciones críticas</t>
        </is>
      </c>
      <c r="F3" s="28" t="n">
        <v>8</v>
      </c>
      <c r="G3" s="28" t="n">
        <v>6</v>
      </c>
      <c r="H3" s="28" t="n">
        <v>5</v>
      </c>
      <c r="I3" s="28" t="n">
        <v>5</v>
      </c>
      <c r="J3" s="28" t="n">
        <v>5</v>
      </c>
      <c r="K3" s="29">
        <f>MAX(F3:J3)</f>
        <v/>
      </c>
    </row>
    <row r="4">
      <c r="A4" s="26" t="inlineStr">
        <is>
          <t>AC-03</t>
        </is>
      </c>
      <c r="B4" s="27" t="inlineStr">
        <is>
          <t>Código fuente de la aplicación principal</t>
        </is>
      </c>
      <c r="C4" s="27" t="inlineStr">
        <is>
          <t>Software / Aplicación</t>
        </is>
      </c>
      <c r="D4" s="27" t="inlineStr">
        <is>
          <t>Responsable de Desarrollo</t>
        </is>
      </c>
      <c r="E4" s="27" t="inlineStr">
        <is>
          <t>Repositorio de código de la aplicación de negocio</t>
        </is>
      </c>
      <c r="F4" s="28" t="n">
        <v>5</v>
      </c>
      <c r="G4" s="28" t="n">
        <v>8</v>
      </c>
      <c r="H4" s="28" t="n">
        <v>6</v>
      </c>
      <c r="I4" s="28" t="n">
        <v>5</v>
      </c>
      <c r="J4" s="28" t="n">
        <v>4</v>
      </c>
      <c r="K4" s="29">
        <f>MAX(F4:J4)</f>
        <v/>
      </c>
    </row>
    <row r="5">
      <c r="A5" s="26" t="inlineStr">
        <is>
          <t>AC-04</t>
        </is>
      </c>
      <c r="B5" s="27" t="inlineStr">
        <is>
          <t>Servicio de infraestructura en la nube (IaaS)</t>
        </is>
      </c>
      <c r="C5" s="27" t="inlineStr">
        <is>
          <t>Servicio en la nube</t>
        </is>
      </c>
      <c r="D5" s="27" t="inlineStr">
        <is>
          <t>Responsable de Sistemas</t>
        </is>
      </c>
      <c r="E5" s="27" t="inlineStr">
        <is>
          <t>Proveedor de infraestructura cloud que aloja los servicios</t>
        </is>
      </c>
      <c r="F5" s="28" t="n">
        <v>8</v>
      </c>
      <c r="G5" s="28" t="n">
        <v>7</v>
      </c>
      <c r="H5" s="28" t="n">
        <v>6</v>
      </c>
      <c r="I5" s="28" t="n">
        <v>5</v>
      </c>
      <c r="J5" s="28" t="n">
        <v>5</v>
      </c>
      <c r="K5" s="29">
        <f>MAX(F5:J5)</f>
        <v/>
      </c>
    </row>
    <row r="6">
      <c r="A6" s="26" t="inlineStr">
        <is>
          <t>AC-05</t>
        </is>
      </c>
      <c r="B6" s="27" t="inlineStr">
        <is>
          <t>Librería / componente de código abierto X</t>
        </is>
      </c>
      <c r="C6" s="27" t="inlineStr">
        <is>
          <t>Software / Aplicación</t>
        </is>
      </c>
      <c r="D6" s="27" t="inlineStr">
        <is>
          <t>Responsable de Desarrollo</t>
        </is>
      </c>
      <c r="E6" s="27" t="inlineStr">
        <is>
          <t>Componente de terceros integrado en la aplicación principal</t>
        </is>
      </c>
      <c r="F6" s="28" t="n">
        <v>4</v>
      </c>
      <c r="G6" s="28" t="n">
        <v>7</v>
      </c>
      <c r="H6" s="28" t="n">
        <v>4</v>
      </c>
      <c r="I6" s="28" t="n">
        <v>3</v>
      </c>
      <c r="J6" s="28" t="n">
        <v>3</v>
      </c>
      <c r="K6" s="29">
        <f>MAX(F6:J6)</f>
        <v/>
      </c>
    </row>
    <row r="7">
      <c r="A7" s="26" t="inlineStr">
        <is>
          <t>AC-06</t>
        </is>
      </c>
      <c r="B7" s="27" t="inlineStr">
        <is>
          <t>Proveedor de servicios gestionados (MSP)</t>
        </is>
      </c>
      <c r="C7" s="27" t="inlineStr">
        <is>
          <t>Proveedor / Subcontratista</t>
        </is>
      </c>
      <c r="D7" s="27" t="inlineStr">
        <is>
          <t>Responsable de Compras/TI</t>
        </is>
      </c>
      <c r="E7" s="27" t="inlineStr">
        <is>
          <t>Subcontratista con acceso remoto para mantenimiento de sistemas</t>
        </is>
      </c>
      <c r="F7" s="28" t="n">
        <v>6</v>
      </c>
      <c r="G7" s="28" t="n">
        <v>6</v>
      </c>
      <c r="H7" s="28" t="n">
        <v>8</v>
      </c>
      <c r="I7" s="28" t="n">
        <v>6</v>
      </c>
      <c r="J7" s="28" t="n">
        <v>6</v>
      </c>
      <c r="K7" s="29">
        <f>MAX(F7:J7)</f>
        <v/>
      </c>
    </row>
    <row r="8">
      <c r="A8" s="26" t="inlineStr">
        <is>
          <t>AC-07</t>
        </is>
      </c>
      <c r="B8" s="27" t="inlineStr">
        <is>
          <t>Modelo de IA de scoring de riesgo / chatbot</t>
        </is>
      </c>
      <c r="C8" s="27" t="inlineStr">
        <is>
          <t>Modelo o sistema de IA</t>
        </is>
      </c>
      <c r="D8" s="27" t="inlineStr">
        <is>
          <t>Responsable de Datos/IA</t>
        </is>
      </c>
      <c r="E8" s="27" t="inlineStr">
        <is>
          <t>Sistema de IA generativa o de scoring usado en procesos de negocio</t>
        </is>
      </c>
      <c r="F8" s="28" t="n">
        <v>6</v>
      </c>
      <c r="G8" s="28" t="n">
        <v>8</v>
      </c>
      <c r="H8" s="28" t="n">
        <v>7</v>
      </c>
      <c r="I8" s="28" t="n">
        <v>6</v>
      </c>
      <c r="J8" s="28" t="n">
        <v>5</v>
      </c>
      <c r="K8" s="29">
        <f>MAX(F8:J8)</f>
        <v/>
      </c>
    </row>
    <row r="9">
      <c r="A9" s="26" t="inlineStr">
        <is>
          <t>AC-08</t>
        </is>
      </c>
      <c r="B9" s="27" t="inlineStr">
        <is>
          <t>Personal del departamento de TI</t>
        </is>
      </c>
      <c r="C9" s="27" t="inlineStr">
        <is>
          <t>Personal</t>
        </is>
      </c>
      <c r="D9" s="27" t="inlineStr">
        <is>
          <t>Dirección de TI</t>
        </is>
      </c>
      <c r="E9" s="27" t="inlineStr">
        <is>
          <t>Equipo responsable de operar y mantener los sistemas</t>
        </is>
      </c>
      <c r="F9" s="28" t="n">
        <v>7</v>
      </c>
      <c r="G9" s="28" t="n">
        <v>5</v>
      </c>
      <c r="H9" s="28" t="n">
        <v>5</v>
      </c>
      <c r="I9" s="28" t="n">
        <v>4</v>
      </c>
      <c r="J9" s="28" t="n">
        <v>4</v>
      </c>
      <c r="K9" s="29">
        <f>MAX(F9:J9)</f>
        <v/>
      </c>
    </row>
    <row r="10">
      <c r="A10" s="26" t="inlineStr">
        <is>
          <t>AC-09</t>
        </is>
      </c>
      <c r="B10" s="27" t="inlineStr">
        <is>
          <t>Centro de proceso de datos (CPD)</t>
        </is>
      </c>
      <c r="C10" s="27" t="inlineStr">
        <is>
          <t>Instalaciones</t>
        </is>
      </c>
      <c r="D10" s="27" t="inlineStr">
        <is>
          <t>Responsable de Infraestructura</t>
        </is>
      </c>
      <c r="E10" s="27" t="inlineStr">
        <is>
          <t>Instalación física donde se ubican los equipos críticos</t>
        </is>
      </c>
      <c r="F10" s="28" t="n">
        <v>9</v>
      </c>
      <c r="G10" s="28" t="n">
        <v>6</v>
      </c>
      <c r="H10" s="28" t="n">
        <v>5</v>
      </c>
      <c r="I10" s="28" t="n">
        <v>4</v>
      </c>
      <c r="J10" s="28" t="n">
        <v>4</v>
      </c>
      <c r="K10" s="29">
        <f>MAX(F10:J10)</f>
        <v/>
      </c>
    </row>
    <row r="11">
      <c r="A11" s="26">
        <f>IF(B11="","","AC-"&amp;TEXT(ROW()-1,"00"))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30">
        <f>IF(B11="","",MAX(F11:J11))</f>
        <v/>
      </c>
    </row>
    <row r="12">
      <c r="A12" s="26">
        <f>IF(B12="","","AC-"&amp;TEXT(ROW()-1,"00"))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30">
        <f>IF(B12="","",MAX(F12:J12))</f>
        <v/>
      </c>
    </row>
    <row r="13">
      <c r="A13" s="26">
        <f>IF(B13="","","AC-"&amp;TEXT(ROW()-1,"00"))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30">
        <f>IF(B13="","",MAX(F13:J13))</f>
        <v/>
      </c>
    </row>
    <row r="14">
      <c r="A14" s="26">
        <f>IF(B14="","","AC-"&amp;TEXT(ROW()-1,"00"))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30">
        <f>IF(B14="","",MAX(F14:J14))</f>
        <v/>
      </c>
    </row>
    <row r="15">
      <c r="A15" s="26">
        <f>IF(B15="","","AC-"&amp;TEXT(ROW()-1,"00"))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30">
        <f>IF(B15="","",MAX(F15:J15))</f>
        <v/>
      </c>
    </row>
    <row r="16">
      <c r="A16" s="26">
        <f>IF(B16="","","AC-"&amp;TEXT(ROW()-1,"00"))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30">
        <f>IF(B16="","",MAX(F16:J16))</f>
        <v/>
      </c>
    </row>
    <row r="17">
      <c r="A17" s="26">
        <f>IF(B17="","","AC-"&amp;TEXT(ROW()-1,"00"))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30">
        <f>IF(B17="","",MAX(F17:J17))</f>
        <v/>
      </c>
    </row>
    <row r="18">
      <c r="A18" s="26">
        <f>IF(B18="","","AC-"&amp;TEXT(ROW()-1,"00"))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30">
        <f>IF(B18="","",MAX(F18:J18))</f>
        <v/>
      </c>
    </row>
    <row r="19">
      <c r="A19" s="26">
        <f>IF(B19="","","AC-"&amp;TEXT(ROW()-1,"00"))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30">
        <f>IF(B19="","",MAX(F19:J19))</f>
        <v/>
      </c>
    </row>
    <row r="20">
      <c r="A20" s="26">
        <f>IF(B20="","","AC-"&amp;TEXT(ROW()-1,"00"))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30">
        <f>IF(B20="","",MAX(F20:J20))</f>
        <v/>
      </c>
    </row>
    <row r="21">
      <c r="A21" s="26">
        <f>IF(B21="","","AC-"&amp;TEXT(ROW()-1,"00"))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30">
        <f>IF(B21="","",MAX(F21:J21))</f>
        <v/>
      </c>
    </row>
    <row r="22">
      <c r="A22" s="26">
        <f>IF(B22="","","AC-"&amp;TEXT(ROW()-1,"00"))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30">
        <f>IF(B22="","",MAX(F22:J22))</f>
        <v/>
      </c>
    </row>
    <row r="23">
      <c r="A23" s="26">
        <f>IF(B23="","","AC-"&amp;TEXT(ROW()-1,"00"))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30">
        <f>IF(B23="","",MAX(F23:J23))</f>
        <v/>
      </c>
    </row>
    <row r="24">
      <c r="A24" s="26">
        <f>IF(B24="","","AC-"&amp;TEXT(ROW()-1,"00"))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30">
        <f>IF(B24="","",MAX(F24:J24))</f>
        <v/>
      </c>
    </row>
    <row r="25">
      <c r="A25" s="26">
        <f>IF(B25="","","AC-"&amp;TEXT(ROW()-1,"00"))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30">
        <f>IF(B25="","",MAX(F25:J25))</f>
        <v/>
      </c>
    </row>
    <row r="27">
      <c r="A27" s="31" t="inlineStr">
        <is>
          <t>Escala de valoración: 1-2 Muy bajo (MB) · 3-4 Bajo (B) · 5-6 Medio (M) · 7-8 Alto (A) · 9-10 Muy alto (MA).</t>
        </is>
      </c>
    </row>
  </sheetData>
  <autoFilter ref="A1:K25"/>
  <dataValidations count="1">
    <dataValidation sqref="C2:C25" showDropDown="0" showInputMessage="0" showErrorMessage="0" allowBlank="1" type="list">
      <formula1>"Información / Datos,Software / Aplicación,Hardware / Equipamiento,Servicio (interno),Servicio en la nube,Red / Comunicaciones,Personal,Instalaciones,Proveedor / Subcontratista,Modelo o sistema de IA"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9" customWidth="1" min="4" max="4"/>
    <col width="10" customWidth="1" min="5" max="5"/>
    <col width="15" customWidth="1" min="6" max="6"/>
    <col width="30" customWidth="1" min="7" max="7"/>
    <col width="42" customWidth="1" min="8" max="8"/>
    <col width="34" customWidth="1" min="9" max="9"/>
    <col width="30" customWidth="1" min="10" max="10"/>
    <col width="11" customWidth="1" min="11" max="11"/>
    <col width="11" customWidth="1" min="12" max="12"/>
    <col width="13" customWidth="1" min="13" max="13"/>
    <col width="13" customWidth="1" min="14" max="14"/>
    <col width="34" customWidth="1" min="15" max="15"/>
    <col width="11" customWidth="1" min="16" max="16"/>
    <col width="11" customWidth="1" min="17" max="17"/>
    <col width="13" customWidth="1" min="18" max="18"/>
    <col width="20" customWidth="1" min="19" max="19"/>
    <col width="12" customWidth="1" min="20" max="20"/>
    <col width="13" customWidth="1" min="21" max="21"/>
  </cols>
  <sheetData>
    <row r="1" ht="44" customHeight="1">
      <c r="A1" s="7" t="inlineStr">
        <is>
          <t>ID
Riesgo</t>
        </is>
      </c>
      <c r="B1" s="7" t="inlineStr">
        <is>
          <t>Activo</t>
        </is>
      </c>
      <c r="C1" s="7" t="inlineStr">
        <is>
          <t>Dimensión
afectada</t>
        </is>
      </c>
      <c r="D1" s="7" t="inlineStr">
        <is>
          <t>Valor del
activo</t>
        </is>
      </c>
      <c r="E1" s="7" t="inlineStr">
        <is>
          <t>Código de
amenaza</t>
        </is>
      </c>
      <c r="F1" s="7" t="inlineStr">
        <is>
          <t>Grupo de
amenaza</t>
        </is>
      </c>
      <c r="G1" s="7" t="inlineStr">
        <is>
          <t>Amenaza</t>
        </is>
      </c>
      <c r="H1" s="7" t="inlineStr">
        <is>
          <t>Descripción de la amenaza</t>
        </is>
      </c>
      <c r="I1" s="7" t="inlineStr">
        <is>
          <t>Vulnerabilidad / Causa</t>
        </is>
      </c>
      <c r="J1" s="7" t="inlineStr">
        <is>
          <t>Salvaguardas existentes</t>
        </is>
      </c>
      <c r="K1" s="7" t="inlineStr">
        <is>
          <t>Frecuencia</t>
        </is>
      </c>
      <c r="L1" s="7" t="inlineStr">
        <is>
          <t>Degradación /
Impacto</t>
        </is>
      </c>
      <c r="M1" s="7" t="inlineStr">
        <is>
          <t>Nivel de Riesgo
(intrínseco)</t>
        </is>
      </c>
      <c r="N1" s="7" t="inlineStr">
        <is>
          <t>Tratamiento
propuesto</t>
        </is>
      </c>
      <c r="O1" s="7" t="inlineStr">
        <is>
          <t>Salvaguardas adicionales propuestas</t>
        </is>
      </c>
      <c r="P1" s="7" t="inlineStr">
        <is>
          <t>Frecuencia
residual</t>
        </is>
      </c>
      <c r="Q1" s="7" t="inlineStr">
        <is>
          <t>Degradación /
Impacto residual</t>
        </is>
      </c>
      <c r="R1" s="7" t="inlineStr">
        <is>
          <t>Nivel de Riesgo
residual</t>
        </is>
      </c>
      <c r="S1" s="7" t="inlineStr">
        <is>
          <t>Responsable</t>
        </is>
      </c>
      <c r="T1" s="7" t="inlineStr">
        <is>
          <t>Fecha límite</t>
        </is>
      </c>
      <c r="U1" s="7" t="inlineStr">
        <is>
          <t>Estado</t>
        </is>
      </c>
    </row>
    <row r="2">
      <c r="A2" s="26" t="inlineStr">
        <is>
          <t>R-01</t>
        </is>
      </c>
      <c r="B2" s="32" t="inlineStr">
        <is>
          <t>Base de datos de clientes (CRM)</t>
        </is>
      </c>
      <c r="C2" s="33" t="inlineStr">
        <is>
          <t>C</t>
        </is>
      </c>
      <c r="D2" s="34">
        <f>IFERROR(INDEX(Activos!$F$2:$J$25,MATCH($B2,Activos!$B$2:$B$25,0),MATCH($C2,{"D","I","C","A","T"},0)),"")</f>
        <v/>
      </c>
      <c r="E2" s="33" t="inlineStr">
        <is>
          <t>A.11</t>
        </is>
      </c>
      <c r="F2" s="26">
        <f>IFERROR(INDEX(Amenazas MAGERIT!$A$2:$A$84,MATCH($E2,Amenazas MAGERIT!$B$2:$B$84,0)),"")</f>
        <v/>
      </c>
      <c r="G2" s="8">
        <f>IFERROR(VLOOKUP($E2,Amenazas MAGERIT!$B$2:$D$84,2,FALSE),"")</f>
        <v/>
      </c>
      <c r="H2" s="35">
        <f>IFERROR(VLOOKUP($E2,Amenazas MAGERIT!$B$2:$D$84,3,FALSE),"")</f>
        <v/>
      </c>
      <c r="I2" s="36" t="inlineStr">
        <is>
          <t>Contraseñas débiles y ausencia de MFA en el acceso a la base de datos.</t>
        </is>
      </c>
      <c r="J2" s="36" t="inlineStr">
        <is>
          <t>Control de acceso basado en roles.</t>
        </is>
      </c>
      <c r="K2" s="33" t="inlineStr">
        <is>
          <t>M</t>
        </is>
      </c>
      <c r="L2" s="33" t="inlineStr">
        <is>
          <t>A</t>
        </is>
      </c>
      <c r="M2" s="29">
        <f>IFERROR(INDEX(MatrizRiesgo,MATCH($K2,Orden,0),MATCH($L2,Orden,0)),"")</f>
        <v/>
      </c>
      <c r="N2" s="33" t="inlineStr">
        <is>
          <t>Mitigar</t>
        </is>
      </c>
      <c r="O2" s="36" t="inlineStr">
        <is>
          <t>Implantar autenticación multifactor y monitorización de accesos.</t>
        </is>
      </c>
      <c r="P2" s="33" t="inlineStr">
        <is>
          <t>B</t>
        </is>
      </c>
      <c r="Q2" s="33" t="inlineStr">
        <is>
          <t>M</t>
        </is>
      </c>
      <c r="R2" s="29">
        <f>IFERROR(INDEX(MatrizRiesgo,MATCH($P2,Orden,0),MATCH($Q2,Orden,0)),"")</f>
        <v/>
      </c>
      <c r="S2" s="32" t="inlineStr">
        <is>
          <t>Responsable de Sistemas</t>
        </is>
      </c>
      <c r="T2" s="33" t="inlineStr">
        <is>
          <t>2026-09-30</t>
        </is>
      </c>
      <c r="U2" s="33" t="inlineStr">
        <is>
          <t>En curso</t>
        </is>
      </c>
    </row>
    <row r="3">
      <c r="A3" s="26" t="inlineStr">
        <is>
          <t>R-02</t>
        </is>
      </c>
      <c r="B3" s="32" t="inlineStr">
        <is>
          <t>Servidor de aplicaciones de producción</t>
        </is>
      </c>
      <c r="C3" s="33" t="inlineStr">
        <is>
          <t>D</t>
        </is>
      </c>
      <c r="D3" s="34">
        <f>IFERROR(INDEX(Activos!$F$2:$J$25,MATCH($B3,Activos!$B$2:$B$25,0),MATCH($C3,{"D","I","C","A","T"},0)),"")</f>
        <v/>
      </c>
      <c r="E3" s="33" t="inlineStr">
        <is>
          <t>I.6</t>
        </is>
      </c>
      <c r="F3" s="26">
        <f>IFERROR(INDEX(Amenazas MAGERIT!$A$2:$A$84,MATCH($E3,Amenazas MAGERIT!$B$2:$B$84,0)),"")</f>
        <v/>
      </c>
      <c r="G3" s="8">
        <f>IFERROR(VLOOKUP($E3,Amenazas MAGERIT!$B$2:$D$84,2,FALSE),"")</f>
        <v/>
      </c>
      <c r="H3" s="35">
        <f>IFERROR(VLOOKUP($E3,Amenazas MAGERIT!$B$2:$D$84,3,FALSE),"")</f>
        <v/>
      </c>
      <c r="I3" s="36" t="inlineStr">
        <is>
          <t>Ausencia de SAI redundante.</t>
        </is>
      </c>
      <c r="J3" s="36" t="inlineStr">
        <is>
          <t>SAI básico instalado.</t>
        </is>
      </c>
      <c r="K3" s="33" t="inlineStr">
        <is>
          <t>B</t>
        </is>
      </c>
      <c r="L3" s="33" t="inlineStr">
        <is>
          <t>A</t>
        </is>
      </c>
      <c r="M3" s="29">
        <f>IFERROR(INDEX(MatrizRiesgo,MATCH($K3,Orden,0),MATCH($L3,Orden,0)),"")</f>
        <v/>
      </c>
      <c r="N3" s="33" t="inlineStr">
        <is>
          <t>Mitigar</t>
        </is>
      </c>
      <c r="O3" s="36" t="inlineStr">
        <is>
          <t>Instalar generador de respaldo y SAI redundante N+1.</t>
        </is>
      </c>
      <c r="P3" s="33" t="inlineStr">
        <is>
          <t>MB</t>
        </is>
      </c>
      <c r="Q3" s="33" t="inlineStr">
        <is>
          <t>M</t>
        </is>
      </c>
      <c r="R3" s="29">
        <f>IFERROR(INDEX(MatrizRiesgo,MATCH($P3,Orden,0),MATCH($Q3,Orden,0)),"")</f>
        <v/>
      </c>
      <c r="S3" s="32" t="inlineStr">
        <is>
          <t>Responsable de Infraestructura</t>
        </is>
      </c>
      <c r="T3" s="33" t="inlineStr">
        <is>
          <t>2026-10-31</t>
        </is>
      </c>
      <c r="U3" s="33" t="inlineStr">
        <is>
          <t>Pendiente</t>
        </is>
      </c>
    </row>
    <row r="4">
      <c r="A4" s="26" t="inlineStr">
        <is>
          <t>R-03</t>
        </is>
      </c>
      <c r="B4" s="32" t="inlineStr">
        <is>
          <t>Servidor de aplicaciones de producción</t>
        </is>
      </c>
      <c r="C4" s="33" t="inlineStr">
        <is>
          <t>D</t>
        </is>
      </c>
      <c r="D4" s="34">
        <f>IFERROR(INDEX(Activos!$F$2:$J$25,MATCH($B4,Activos!$B$2:$B$25,0),MATCH($C4,{"D","I","C","A","T"},0)),"")</f>
        <v/>
      </c>
      <c r="E4" s="33" t="inlineStr">
        <is>
          <t>A.24</t>
        </is>
      </c>
      <c r="F4" s="26">
        <f>IFERROR(INDEX(Amenazas MAGERIT!$A$2:$A$84,MATCH($E4,Amenazas MAGERIT!$B$2:$B$84,0)),"")</f>
        <v/>
      </c>
      <c r="G4" s="8">
        <f>IFERROR(VLOOKUP($E4,Amenazas MAGERIT!$B$2:$D$84,2,FALSE),"")</f>
        <v/>
      </c>
      <c r="H4" s="35">
        <f>IFERROR(VLOOKUP($E4,Amenazas MAGERIT!$B$2:$D$84,3,FALSE),"")</f>
        <v/>
      </c>
      <c r="I4" s="36" t="inlineStr">
        <is>
          <t>Sin protección anti-DDoS contratada.</t>
        </is>
      </c>
      <c r="J4" s="36" t="inlineStr">
        <is>
          <t>Firewall perimetral básico.</t>
        </is>
      </c>
      <c r="K4" s="33" t="inlineStr">
        <is>
          <t>M</t>
        </is>
      </c>
      <c r="L4" s="33" t="inlineStr">
        <is>
          <t>A</t>
        </is>
      </c>
      <c r="M4" s="29">
        <f>IFERROR(INDEX(MatrizRiesgo,MATCH($K4,Orden,0),MATCH($L4,Orden,0)),"")</f>
        <v/>
      </c>
      <c r="N4" s="33" t="inlineStr">
        <is>
          <t>Mitigar</t>
        </is>
      </c>
      <c r="O4" s="36" t="inlineStr">
        <is>
          <t>Contratar servicio anti-DDoS gestionado.</t>
        </is>
      </c>
      <c r="P4" s="33" t="inlineStr">
        <is>
          <t>B</t>
        </is>
      </c>
      <c r="Q4" s="33" t="inlineStr">
        <is>
          <t>M</t>
        </is>
      </c>
      <c r="R4" s="29">
        <f>IFERROR(INDEX(MatrizRiesgo,MATCH($P4,Orden,0),MATCH($Q4,Orden,0)),"")</f>
        <v/>
      </c>
      <c r="S4" s="32" t="inlineStr">
        <is>
          <t>Responsable de Infraestructura</t>
        </is>
      </c>
      <c r="T4" s="33" t="inlineStr">
        <is>
          <t>2026-09-15</t>
        </is>
      </c>
      <c r="U4" s="33" t="inlineStr">
        <is>
          <t>En curso</t>
        </is>
      </c>
    </row>
    <row r="5">
      <c r="A5" s="26" t="inlineStr">
        <is>
          <t>R-04</t>
        </is>
      </c>
      <c r="B5" s="32" t="inlineStr">
        <is>
          <t>Código fuente de la aplicación principal</t>
        </is>
      </c>
      <c r="C5" s="33" t="inlineStr">
        <is>
          <t>I</t>
        </is>
      </c>
      <c r="D5" s="34">
        <f>IFERROR(INDEX(Activos!$F$2:$J$25,MATCH($B5,Activos!$B$2:$B$25,0),MATCH($C5,{"D","I","C","A","T"},0)),"")</f>
        <v/>
      </c>
      <c r="E5" s="33" t="inlineStr">
        <is>
          <t>E.20</t>
        </is>
      </c>
      <c r="F5" s="26">
        <f>IFERROR(INDEX(Amenazas MAGERIT!$A$2:$A$84,MATCH($E5,Amenazas MAGERIT!$B$2:$B$84,0)),"")</f>
        <v/>
      </c>
      <c r="G5" s="8">
        <f>IFERROR(VLOOKUP($E5,Amenazas MAGERIT!$B$2:$D$84,2,FALSE),"")</f>
        <v/>
      </c>
      <c r="H5" s="35">
        <f>IFERROR(VLOOKUP($E5,Amenazas MAGERIT!$B$2:$D$84,3,FALSE),"")</f>
        <v/>
      </c>
      <c r="I5" s="36" t="inlineStr">
        <is>
          <t>No se ejecuta análisis estático de código en el pipeline de CI/CD.</t>
        </is>
      </c>
      <c r="J5" s="36" t="inlineStr">
        <is>
          <t>Revisión manual de código por pares.</t>
        </is>
      </c>
      <c r="K5" s="33" t="inlineStr">
        <is>
          <t>A</t>
        </is>
      </c>
      <c r="L5" s="33" t="inlineStr">
        <is>
          <t>M</t>
        </is>
      </c>
      <c r="M5" s="29">
        <f>IFERROR(INDEX(MatrizRiesgo,MATCH($K5,Orden,0),MATCH($L5,Orden,0)),"")</f>
        <v/>
      </c>
      <c r="N5" s="33" t="inlineStr">
        <is>
          <t>Mitigar</t>
        </is>
      </c>
      <c r="O5" s="36" t="inlineStr">
        <is>
          <t>Integrar SAST/SCA en el pipeline de CI/CD.</t>
        </is>
      </c>
      <c r="P5" s="33" t="inlineStr">
        <is>
          <t>M</t>
        </is>
      </c>
      <c r="Q5" s="33" t="inlineStr">
        <is>
          <t>B</t>
        </is>
      </c>
      <c r="R5" s="29">
        <f>IFERROR(INDEX(MatrizRiesgo,MATCH($P5,Orden,0),MATCH($Q5,Orden,0)),"")</f>
        <v/>
      </c>
      <c r="S5" s="32" t="inlineStr">
        <is>
          <t>Responsable de Desarrollo</t>
        </is>
      </c>
      <c r="T5" s="33" t="inlineStr">
        <is>
          <t>2026-09-30</t>
        </is>
      </c>
      <c r="U5" s="33" t="inlineStr">
        <is>
          <t>En curso</t>
        </is>
      </c>
    </row>
    <row r="6">
      <c r="A6" s="26" t="inlineStr">
        <is>
          <t>R-05</t>
        </is>
      </c>
      <c r="B6" s="32" t="inlineStr">
        <is>
          <t>Servicio de infraestructura en la nube (IaaS)</t>
        </is>
      </c>
      <c r="C6" s="33" t="inlineStr">
        <is>
          <t>D</t>
        </is>
      </c>
      <c r="D6" s="34">
        <f>IFERROR(INDEX(Activos!$F$2:$J$25,MATCH($B6,Activos!$B$2:$B$25,0),MATCH($C6,{"D","I","C","A","T"},0)),"")</f>
        <v/>
      </c>
      <c r="E6" s="33" t="inlineStr">
        <is>
          <t>S.5</t>
        </is>
      </c>
      <c r="F6" s="26">
        <f>IFERROR(INDEX(Amenazas MAGERIT!$A$2:$A$84,MATCH($E6,Amenazas MAGERIT!$B$2:$B$84,0)),"")</f>
        <v/>
      </c>
      <c r="G6" s="8">
        <f>IFERROR(VLOOKUP($E6,Amenazas MAGERIT!$B$2:$D$84,2,FALSE),"")</f>
        <v/>
      </c>
      <c r="H6" s="35">
        <f>IFERROR(VLOOKUP($E6,Amenazas MAGERIT!$B$2:$D$84,3,FALSE),"")</f>
        <v/>
      </c>
      <c r="I6" s="36" t="inlineStr">
        <is>
          <t>Dependencia de un único proveedor cloud sin plan de contingencia.</t>
        </is>
      </c>
      <c r="J6" s="36" t="inlineStr">
        <is>
          <t>SLA contractual del 99,9%.</t>
        </is>
      </c>
      <c r="K6" s="33" t="inlineStr">
        <is>
          <t>B</t>
        </is>
      </c>
      <c r="L6" s="33" t="inlineStr">
        <is>
          <t>A</t>
        </is>
      </c>
      <c r="M6" s="29">
        <f>IFERROR(INDEX(MatrizRiesgo,MATCH($K6,Orden,0),MATCH($L6,Orden,0)),"")</f>
        <v/>
      </c>
      <c r="N6" s="33" t="inlineStr">
        <is>
          <t>Mitigar</t>
        </is>
      </c>
      <c r="O6" s="36" t="inlineStr">
        <is>
          <t>Definir plan de contingencia y evaluar arquitectura multicloud para servicios críticos.</t>
        </is>
      </c>
      <c r="P6" s="33" t="inlineStr">
        <is>
          <t>MB</t>
        </is>
      </c>
      <c r="Q6" s="33" t="inlineStr">
        <is>
          <t>M</t>
        </is>
      </c>
      <c r="R6" s="29">
        <f>IFERROR(INDEX(MatrizRiesgo,MATCH($P6,Orden,0),MATCH($Q6,Orden,0)),"")</f>
        <v/>
      </c>
      <c r="S6" s="32" t="inlineStr">
        <is>
          <t>Responsable de Sistemas</t>
        </is>
      </c>
      <c r="T6" s="33" t="inlineStr">
        <is>
          <t>2026-12-31</t>
        </is>
      </c>
      <c r="U6" s="33" t="inlineStr">
        <is>
          <t>Pendiente</t>
        </is>
      </c>
    </row>
    <row r="7">
      <c r="A7" s="26" t="inlineStr">
        <is>
          <t>R-06</t>
        </is>
      </c>
      <c r="B7" s="32" t="inlineStr">
        <is>
          <t>Servicio de infraestructura en la nube (IaaS)</t>
        </is>
      </c>
      <c r="C7" s="33" t="inlineStr">
        <is>
          <t>C</t>
        </is>
      </c>
      <c r="D7" s="34">
        <f>IFERROR(INDEX(Activos!$F$2:$J$25,MATCH($B7,Activos!$B$2:$B$25,0),MATCH($C7,{"D","I","C","A","T"},0)),"")</f>
        <v/>
      </c>
      <c r="E7" s="33" t="inlineStr">
        <is>
          <t>S.9</t>
        </is>
      </c>
      <c r="F7" s="26">
        <f>IFERROR(INDEX(Amenazas MAGERIT!$A$2:$A$84,MATCH($E7,Amenazas MAGERIT!$B$2:$B$84,0)),"")</f>
        <v/>
      </c>
      <c r="G7" s="8">
        <f>IFERROR(VLOOKUP($E7,Amenazas MAGERIT!$B$2:$D$84,2,FALSE),"")</f>
        <v/>
      </c>
      <c r="H7" s="35">
        <f>IFERROR(VLOOKUP($E7,Amenazas MAGERIT!$B$2:$D$84,3,FALSE),"")</f>
        <v/>
      </c>
      <c r="I7" s="36" t="inlineStr">
        <is>
          <t>Cifrado gestionado por el proveedor con claves del propio proveedor.</t>
        </is>
      </c>
      <c r="J7" s="36" t="inlineStr">
        <is>
          <t>Certificación ISO 27001 del proveedor.</t>
        </is>
      </c>
      <c r="K7" s="33" t="inlineStr">
        <is>
          <t>B</t>
        </is>
      </c>
      <c r="L7" s="33" t="inlineStr">
        <is>
          <t>MA</t>
        </is>
      </c>
      <c r="M7" s="29">
        <f>IFERROR(INDEX(MatrizRiesgo,MATCH($K7,Orden,0),MATCH($L7,Orden,0)),"")</f>
        <v/>
      </c>
      <c r="N7" s="33" t="inlineStr">
        <is>
          <t>Mitigar</t>
        </is>
      </c>
      <c r="O7" s="36" t="inlineStr">
        <is>
          <t>Cifrar los datos con claves propias (BYOK) antes de subirlos a la nube.</t>
        </is>
      </c>
      <c r="P7" s="33" t="inlineStr">
        <is>
          <t>MB</t>
        </is>
      </c>
      <c r="Q7" s="33" t="inlineStr">
        <is>
          <t>A</t>
        </is>
      </c>
      <c r="R7" s="29">
        <f>IFERROR(INDEX(MatrizRiesgo,MATCH($P7,Orden,0),MATCH($Q7,Orden,0)),"")</f>
        <v/>
      </c>
      <c r="S7" s="32" t="inlineStr">
        <is>
          <t>Responsable de Sistemas</t>
        </is>
      </c>
      <c r="T7" s="33" t="inlineStr">
        <is>
          <t>2026-11-30</t>
        </is>
      </c>
      <c r="U7" s="33" t="inlineStr">
        <is>
          <t>Pendiente</t>
        </is>
      </c>
    </row>
    <row r="8">
      <c r="A8" s="26" t="inlineStr">
        <is>
          <t>R-07</t>
        </is>
      </c>
      <c r="B8" s="32" t="inlineStr">
        <is>
          <t>Librería / componente de código abierto X</t>
        </is>
      </c>
      <c r="C8" s="33" t="inlineStr">
        <is>
          <t>I</t>
        </is>
      </c>
      <c r="D8" s="34">
        <f>IFERROR(INDEX(Activos!$F$2:$J$25,MATCH($B8,Activos!$B$2:$B$25,0),MATCH($C8,{"D","I","C","A","T"},0)),"")</f>
        <v/>
      </c>
      <c r="E8" s="33" t="inlineStr">
        <is>
          <t>S.4</t>
        </is>
      </c>
      <c r="F8" s="26">
        <f>IFERROR(INDEX(Amenazas MAGERIT!$A$2:$A$84,MATCH($E8,Amenazas MAGERIT!$B$2:$B$84,0)),"")</f>
        <v/>
      </c>
      <c r="G8" s="8">
        <f>IFERROR(VLOOKUP($E8,Amenazas MAGERIT!$B$2:$D$84,2,FALSE),"")</f>
        <v/>
      </c>
      <c r="H8" s="35">
        <f>IFERROR(VLOOKUP($E8,Amenazas MAGERIT!$B$2:$D$84,3,FALSE),"")</f>
        <v/>
      </c>
      <c r="I8" s="36" t="inlineStr">
        <is>
          <t>No existe inventario (SBOM) de dependencias ni alertas de vulnerabilidades.</t>
        </is>
      </c>
      <c r="J8" s="36" t="inlineStr">
        <is>
          <t>Actualización manual esporádica.</t>
        </is>
      </c>
      <c r="K8" s="33" t="inlineStr">
        <is>
          <t>A</t>
        </is>
      </c>
      <c r="L8" s="33" t="inlineStr">
        <is>
          <t>M</t>
        </is>
      </c>
      <c r="M8" s="29">
        <f>IFERROR(INDEX(MatrizRiesgo,MATCH($K8,Orden,0),MATCH($L8,Orden,0)),"")</f>
        <v/>
      </c>
      <c r="N8" s="33" t="inlineStr">
        <is>
          <t>Mitigar</t>
        </is>
      </c>
      <c r="O8" s="36" t="inlineStr">
        <is>
          <t>Implantar herramienta de análisis de composición de software (SCA) y generar SBOM.</t>
        </is>
      </c>
      <c r="P8" s="33" t="inlineStr">
        <is>
          <t>B</t>
        </is>
      </c>
      <c r="Q8" s="33" t="inlineStr">
        <is>
          <t>B</t>
        </is>
      </c>
      <c r="R8" s="29">
        <f>IFERROR(INDEX(MatrizRiesgo,MATCH($P8,Orden,0),MATCH($Q8,Orden,0)),"")</f>
        <v/>
      </c>
      <c r="S8" s="32" t="inlineStr">
        <is>
          <t>Responsable de Desarrollo</t>
        </is>
      </c>
      <c r="T8" s="33" t="inlineStr">
        <is>
          <t>2026-09-30</t>
        </is>
      </c>
      <c r="U8" s="33" t="inlineStr">
        <is>
          <t>En curso</t>
        </is>
      </c>
    </row>
    <row r="9">
      <c r="A9" s="26" t="inlineStr">
        <is>
          <t>R-08</t>
        </is>
      </c>
      <c r="B9" s="32" t="inlineStr">
        <is>
          <t>Proveedor de servicios gestionados (MSP)</t>
        </is>
      </c>
      <c r="C9" s="33" t="inlineStr">
        <is>
          <t>C</t>
        </is>
      </c>
      <c r="D9" s="34">
        <f>IFERROR(INDEX(Activos!$F$2:$J$25,MATCH($B9,Activos!$B$2:$B$25,0),MATCH($C9,{"D","I","C","A","T"},0)),"")</f>
        <v/>
      </c>
      <c r="E9" s="33" t="inlineStr">
        <is>
          <t>S.6</t>
        </is>
      </c>
      <c r="F9" s="26">
        <f>IFERROR(INDEX(Amenazas MAGERIT!$A$2:$A$84,MATCH($E9,Amenazas MAGERIT!$B$2:$B$84,0)),"")</f>
        <v/>
      </c>
      <c r="G9" s="8">
        <f>IFERROR(VLOOKUP($E9,Amenazas MAGERIT!$B$2:$D$84,2,FALSE),"")</f>
        <v/>
      </c>
      <c r="H9" s="35">
        <f>IFERROR(VLOOKUP($E9,Amenazas MAGERIT!$B$2:$D$84,3,FALSE),"")</f>
        <v/>
      </c>
      <c r="I9" s="36" t="inlineStr">
        <is>
          <t>Cláusulas contractuales de confidencialidad genéricas.</t>
        </is>
      </c>
      <c r="J9" s="36" t="inlineStr">
        <is>
          <t>Acuerdo de confidencialidad (NDA) firmado.</t>
        </is>
      </c>
      <c r="K9" s="33" t="inlineStr">
        <is>
          <t>B</t>
        </is>
      </c>
      <c r="L9" s="33" t="inlineStr">
        <is>
          <t>A</t>
        </is>
      </c>
      <c r="M9" s="29">
        <f>IFERROR(INDEX(MatrizRiesgo,MATCH($K9,Orden,0),MATCH($L9,Orden,0)),"")</f>
        <v/>
      </c>
      <c r="N9" s="33" t="inlineStr">
        <is>
          <t>Mitigar</t>
        </is>
      </c>
      <c r="O9" s="36" t="inlineStr">
        <is>
          <t>Auditoría de seguridad anual al proveedor y cláusulas específicas de protección de datos.</t>
        </is>
      </c>
      <c r="P9" s="33" t="inlineStr">
        <is>
          <t>MB</t>
        </is>
      </c>
      <c r="Q9" s="33" t="inlineStr">
        <is>
          <t>M</t>
        </is>
      </c>
      <c r="R9" s="29">
        <f>IFERROR(INDEX(MatrizRiesgo,MATCH($P9,Orden,0),MATCH($Q9,Orden,0)),"")</f>
        <v/>
      </c>
      <c r="S9" s="32" t="inlineStr">
        <is>
          <t>Responsable de Compras/TI</t>
        </is>
      </c>
      <c r="T9" s="33" t="inlineStr">
        <is>
          <t>2026-10-15</t>
        </is>
      </c>
      <c r="U9" s="33" t="inlineStr">
        <is>
          <t>Pendiente</t>
        </is>
      </c>
    </row>
    <row r="10">
      <c r="A10" s="26" t="inlineStr">
        <is>
          <t>R-09</t>
        </is>
      </c>
      <c r="B10" s="32" t="inlineStr">
        <is>
          <t>Proveedor de servicios gestionados (MSP)</t>
        </is>
      </c>
      <c r="C10" s="33" t="inlineStr">
        <is>
          <t>D</t>
        </is>
      </c>
      <c r="D10" s="34">
        <f>IFERROR(INDEX(Activos!$F$2:$J$25,MATCH($B10,Activos!$B$2:$B$25,0),MATCH($C10,{"D","I","C","A","T"},0)),"")</f>
        <v/>
      </c>
      <c r="E10" s="33" t="inlineStr">
        <is>
          <t>S.12</t>
        </is>
      </c>
      <c r="F10" s="26">
        <f>IFERROR(INDEX(Amenazas MAGERIT!$A$2:$A$84,MATCH($E10,Amenazas MAGERIT!$B$2:$B$84,0)),"")</f>
        <v/>
      </c>
      <c r="G10" s="8">
        <f>IFERROR(VLOOKUP($E10,Amenazas MAGERIT!$B$2:$D$84,2,FALSE),"")</f>
        <v/>
      </c>
      <c r="H10" s="35">
        <f>IFERROR(VLOOKUP($E10,Amenazas MAGERIT!$B$2:$D$84,3,FALSE),"")</f>
        <v/>
      </c>
      <c r="I10" s="36" t="inlineStr">
        <is>
          <t>Accesos remotos permanentes sin MFA ni supervisión de sesión.</t>
        </is>
      </c>
      <c r="J10" s="36" t="inlineStr">
        <is>
          <t>VPN con usuario y contraseña.</t>
        </is>
      </c>
      <c r="K10" s="33" t="inlineStr">
        <is>
          <t>M</t>
        </is>
      </c>
      <c r="L10" s="33" t="inlineStr">
        <is>
          <t>A</t>
        </is>
      </c>
      <c r="M10" s="29">
        <f>IFERROR(INDEX(MatrizRiesgo,MATCH($K10,Orden,0),MATCH($L10,Orden,0)),"")</f>
        <v/>
      </c>
      <c r="N10" s="33" t="inlineStr">
        <is>
          <t>Mitigar</t>
        </is>
      </c>
      <c r="O10" s="36" t="inlineStr">
        <is>
          <t>Implantar MFA, sesiones supervisadas y revocación automática de accesos.</t>
        </is>
      </c>
      <c r="P10" s="33" t="inlineStr">
        <is>
          <t>B</t>
        </is>
      </c>
      <c r="Q10" s="33" t="inlineStr">
        <is>
          <t>M</t>
        </is>
      </c>
      <c r="R10" s="29">
        <f>IFERROR(INDEX(MatrizRiesgo,MATCH($P10,Orden,0),MATCH($Q10,Orden,0)),"")</f>
        <v/>
      </c>
      <c r="S10" s="32" t="inlineStr">
        <is>
          <t>Responsable de Sistemas</t>
        </is>
      </c>
      <c r="T10" s="33" t="inlineStr">
        <is>
          <t>2026-09-30</t>
        </is>
      </c>
      <c r="U10" s="33" t="inlineStr">
        <is>
          <t>En curso</t>
        </is>
      </c>
    </row>
    <row r="11">
      <c r="A11" s="26" t="inlineStr">
        <is>
          <t>R-10</t>
        </is>
      </c>
      <c r="B11" s="32" t="inlineStr">
        <is>
          <t>Modelo de IA de scoring de riesgo / chatbot</t>
        </is>
      </c>
      <c r="C11" s="33" t="inlineStr">
        <is>
          <t>I</t>
        </is>
      </c>
      <c r="D11" s="34">
        <f>IFERROR(INDEX(Activos!$F$2:$J$25,MATCH($B11,Activos!$B$2:$B$25,0),MATCH($C11,{"D","I","C","A","T"},0)),"")</f>
        <v/>
      </c>
      <c r="E11" s="33" t="inlineStr">
        <is>
          <t>IA.1</t>
        </is>
      </c>
      <c r="F11" s="26">
        <f>IFERROR(INDEX(Amenazas MAGERIT!$A$2:$A$84,MATCH($E11,Amenazas MAGERIT!$B$2:$B$84,0)),"")</f>
        <v/>
      </c>
      <c r="G11" s="8">
        <f>IFERROR(VLOOKUP($E11,Amenazas MAGERIT!$B$2:$D$84,2,FALSE),"")</f>
        <v/>
      </c>
      <c r="H11" s="35">
        <f>IFERROR(VLOOKUP($E11,Amenazas MAGERIT!$B$2:$D$84,3,FALSE),"")</f>
        <v/>
      </c>
      <c r="I11" s="36" t="inlineStr">
        <is>
          <t>Datos de entrenamiento sin validación de procedencia.</t>
        </is>
      </c>
      <c r="J11" s="36" t="inlineStr">
        <is>
          <t>Ninguna específica.</t>
        </is>
      </c>
      <c r="K11" s="33" t="inlineStr">
        <is>
          <t>B</t>
        </is>
      </c>
      <c r="L11" s="33" t="inlineStr">
        <is>
          <t>A</t>
        </is>
      </c>
      <c r="M11" s="29">
        <f>IFERROR(INDEX(MatrizRiesgo,MATCH($K11,Orden,0),MATCH($L11,Orden,0)),"")</f>
        <v/>
      </c>
      <c r="N11" s="33" t="inlineStr">
        <is>
          <t>Mitigar</t>
        </is>
      </c>
      <c r="O11" s="36" t="inlineStr">
        <is>
          <t>Validar el linaje de los datos de entrenamiento y detectar anomalías antes de reentrenar.</t>
        </is>
      </c>
      <c r="P11" s="33" t="inlineStr">
        <is>
          <t>MB</t>
        </is>
      </c>
      <c r="Q11" s="33" t="inlineStr">
        <is>
          <t>M</t>
        </is>
      </c>
      <c r="R11" s="29">
        <f>IFERROR(INDEX(MatrizRiesgo,MATCH($P11,Orden,0),MATCH($Q11,Orden,0)),"")</f>
        <v/>
      </c>
      <c r="S11" s="32" t="inlineStr">
        <is>
          <t>Responsable de Datos/IA</t>
        </is>
      </c>
      <c r="T11" s="33" t="inlineStr">
        <is>
          <t>2026-11-30</t>
        </is>
      </c>
      <c r="U11" s="33" t="inlineStr">
        <is>
          <t>Pendiente</t>
        </is>
      </c>
    </row>
    <row r="12">
      <c r="A12" s="26" t="inlineStr">
        <is>
          <t>R-11</t>
        </is>
      </c>
      <c r="B12" s="32" t="inlineStr">
        <is>
          <t>Modelo de IA de scoring de riesgo / chatbot</t>
        </is>
      </c>
      <c r="C12" s="33" t="inlineStr">
        <is>
          <t>C</t>
        </is>
      </c>
      <c r="D12" s="34">
        <f>IFERROR(INDEX(Activos!$F$2:$J$25,MATCH($B12,Activos!$B$2:$B$25,0),MATCH($C12,{"D","I","C","A","T"},0)),"")</f>
        <v/>
      </c>
      <c r="E12" s="33" t="inlineStr">
        <is>
          <t>IA.3</t>
        </is>
      </c>
      <c r="F12" s="26">
        <f>IFERROR(INDEX(Amenazas MAGERIT!$A$2:$A$84,MATCH($E12,Amenazas MAGERIT!$B$2:$B$84,0)),"")</f>
        <v/>
      </c>
      <c r="G12" s="8">
        <f>IFERROR(VLOOKUP($E12,Amenazas MAGERIT!$B$2:$D$84,2,FALSE),"")</f>
        <v/>
      </c>
      <c r="H12" s="35">
        <f>IFERROR(VLOOKUP($E12,Amenazas MAGERIT!$B$2:$D$84,3,FALSE),"")</f>
        <v/>
      </c>
      <c r="I12" s="36" t="inlineStr">
        <is>
          <t>El asistente de IA tiene acceso a herramientas internas sin separación clara entre instrucciones y datos de usuario.</t>
        </is>
      </c>
      <c r="J12" s="36" t="inlineStr">
        <is>
          <t>Filtrado básico de palabras clave.</t>
        </is>
      </c>
      <c r="K12" s="33" t="inlineStr">
        <is>
          <t>A</t>
        </is>
      </c>
      <c r="L12" s="33" t="inlineStr">
        <is>
          <t>A</t>
        </is>
      </c>
      <c r="M12" s="29">
        <f>IFERROR(INDEX(MatrizRiesgo,MATCH($K12,Orden,0),MATCH($L12,Orden,0)),"")</f>
        <v/>
      </c>
      <c r="N12" s="33" t="inlineStr">
        <is>
          <t>Mitigar</t>
        </is>
      </c>
      <c r="O12" s="36" t="inlineStr">
        <is>
          <t>Separar instrucciones de sistema y datos de usuario, aplicar mínimo privilegio a las herramientas invocables y validar salidas.</t>
        </is>
      </c>
      <c r="P12" s="33" t="inlineStr">
        <is>
          <t>M</t>
        </is>
      </c>
      <c r="Q12" s="33" t="inlineStr">
        <is>
          <t>M</t>
        </is>
      </c>
      <c r="R12" s="29">
        <f>IFERROR(INDEX(MatrizRiesgo,MATCH($P12,Orden,0),MATCH($Q12,Orden,0)),"")</f>
        <v/>
      </c>
      <c r="S12" s="32" t="inlineStr">
        <is>
          <t>Responsable de Datos/IA</t>
        </is>
      </c>
      <c r="T12" s="33" t="inlineStr">
        <is>
          <t>2026-10-31</t>
        </is>
      </c>
      <c r="U12" s="33" t="inlineStr">
        <is>
          <t>En curso</t>
        </is>
      </c>
    </row>
    <row r="13">
      <c r="A13" s="26" t="inlineStr">
        <is>
          <t>R-12</t>
        </is>
      </c>
      <c r="B13" s="32" t="inlineStr">
        <is>
          <t>Modelo de IA de scoring de riesgo / chatbot</t>
        </is>
      </c>
      <c r="C13" s="33" t="inlineStr">
        <is>
          <t>I</t>
        </is>
      </c>
      <c r="D13" s="34">
        <f>IFERROR(INDEX(Activos!$F$2:$J$25,MATCH($B13,Activos!$B$2:$B$25,0),MATCH($C13,{"D","I","C","A","T"},0)),"")</f>
        <v/>
      </c>
      <c r="E13" s="33" t="inlineStr">
        <is>
          <t>IA.6</t>
        </is>
      </c>
      <c r="F13" s="26">
        <f>IFERROR(INDEX(Amenazas MAGERIT!$A$2:$A$84,MATCH($E13,Amenazas MAGERIT!$B$2:$B$84,0)),"")</f>
        <v/>
      </c>
      <c r="G13" s="8">
        <f>IFERROR(VLOOKUP($E13,Amenazas MAGERIT!$B$2:$D$84,2,FALSE),"")</f>
        <v/>
      </c>
      <c r="H13" s="35">
        <f>IFERROR(VLOOKUP($E13,Amenazas MAGERIT!$B$2:$D$84,3,FALSE),"")</f>
        <v/>
      </c>
      <c r="I13" s="36" t="inlineStr">
        <is>
          <t>No se han realizado auditorías de sesgo del modelo de scoring.</t>
        </is>
      </c>
      <c r="J13" s="36" t="inlineStr">
        <is>
          <t>Revisión manual puntual.</t>
        </is>
      </c>
      <c r="K13" s="33" t="inlineStr">
        <is>
          <t>M</t>
        </is>
      </c>
      <c r="L13" s="33" t="inlineStr">
        <is>
          <t>A</t>
        </is>
      </c>
      <c r="M13" s="29">
        <f>IFERROR(INDEX(MatrizRiesgo,MATCH($K13,Orden,0),MATCH($L13,Orden,0)),"")</f>
        <v/>
      </c>
      <c r="N13" s="33" t="inlineStr">
        <is>
          <t>Mitigar</t>
        </is>
      </c>
      <c r="O13" s="36" t="inlineStr">
        <is>
          <t>Realizar auditoría de sesgo e imparcialidad y evaluación de impacto conforme al Reglamento de IA de la UE.</t>
        </is>
      </c>
      <c r="P13" s="33" t="inlineStr">
        <is>
          <t>B</t>
        </is>
      </c>
      <c r="Q13" s="33" t="inlineStr">
        <is>
          <t>M</t>
        </is>
      </c>
      <c r="R13" s="29">
        <f>IFERROR(INDEX(MatrizRiesgo,MATCH($P13,Orden,0),MATCH($Q13,Orden,0)),"")</f>
        <v/>
      </c>
      <c r="S13" s="32" t="inlineStr">
        <is>
          <t>Responsable de Datos/IA</t>
        </is>
      </c>
      <c r="T13" s="33" t="inlineStr">
        <is>
          <t>2026-12-31</t>
        </is>
      </c>
      <c r="U13" s="33" t="inlineStr">
        <is>
          <t>Pendiente</t>
        </is>
      </c>
    </row>
    <row r="14">
      <c r="A14" s="26" t="inlineStr">
        <is>
          <t>R-13</t>
        </is>
      </c>
      <c r="B14" s="32" t="inlineStr">
        <is>
          <t>Personal del departamento de TI</t>
        </is>
      </c>
      <c r="C14" s="33" t="inlineStr">
        <is>
          <t>D</t>
        </is>
      </c>
      <c r="D14" s="34">
        <f>IFERROR(INDEX(Activos!$F$2:$J$25,MATCH($B14,Activos!$B$2:$B$25,0),MATCH($C14,{"D","I","C","A","T"},0)),"")</f>
        <v/>
      </c>
      <c r="E14" s="33" t="inlineStr">
        <is>
          <t>E.28</t>
        </is>
      </c>
      <c r="F14" s="26">
        <f>IFERROR(INDEX(Amenazas MAGERIT!$A$2:$A$84,MATCH($E14,Amenazas MAGERIT!$B$2:$B$84,0)),"")</f>
        <v/>
      </c>
      <c r="G14" s="8">
        <f>IFERROR(VLOOKUP($E14,Amenazas MAGERIT!$B$2:$D$84,2,FALSE),"")</f>
        <v/>
      </c>
      <c r="H14" s="35">
        <f>IFERROR(VLOOKUP($E14,Amenazas MAGERIT!$B$2:$D$84,3,FALSE),"")</f>
        <v/>
      </c>
      <c r="I14" s="36" t="inlineStr">
        <is>
          <t>Conocimiento crítico concentrado en una sola persona.</t>
        </is>
      </c>
      <c r="J14" s="36" t="inlineStr">
        <is>
          <t>Documentación parcial de procesos.</t>
        </is>
      </c>
      <c r="K14" s="33" t="inlineStr">
        <is>
          <t>M</t>
        </is>
      </c>
      <c r="L14" s="33" t="inlineStr">
        <is>
          <t>M</t>
        </is>
      </c>
      <c r="M14" s="29">
        <f>IFERROR(INDEX(MatrizRiesgo,MATCH($K14,Orden,0),MATCH($L14,Orden,0)),"")</f>
        <v/>
      </c>
      <c r="N14" s="33" t="inlineStr">
        <is>
          <t>Mitigar</t>
        </is>
      </c>
      <c r="O14" s="36" t="inlineStr">
        <is>
          <t>Documentar procesos críticos y formar a personal de respaldo.</t>
        </is>
      </c>
      <c r="P14" s="33" t="inlineStr">
        <is>
          <t>B</t>
        </is>
      </c>
      <c r="Q14" s="33" t="inlineStr">
        <is>
          <t>B</t>
        </is>
      </c>
      <c r="R14" s="29">
        <f>IFERROR(INDEX(MatrizRiesgo,MATCH($P14,Orden,0),MATCH($Q14,Orden,0)),"")</f>
        <v/>
      </c>
      <c r="S14" s="32" t="inlineStr">
        <is>
          <t>Dirección de TI</t>
        </is>
      </c>
      <c r="T14" s="33" t="inlineStr">
        <is>
          <t>2026-09-30</t>
        </is>
      </c>
      <c r="U14" s="33" t="inlineStr">
        <is>
          <t>En curso</t>
        </is>
      </c>
    </row>
    <row r="15">
      <c r="A15" s="26" t="inlineStr">
        <is>
          <t>R-14</t>
        </is>
      </c>
      <c r="B15" s="32" t="inlineStr">
        <is>
          <t>Centro de proceso de datos (CPD)</t>
        </is>
      </c>
      <c r="C15" s="33" t="inlineStr">
        <is>
          <t>D</t>
        </is>
      </c>
      <c r="D15" s="34">
        <f>IFERROR(INDEX(Activos!$F$2:$J$25,MATCH($B15,Activos!$B$2:$B$25,0),MATCH($C15,{"D","I","C","A","T"},0)),"")</f>
        <v/>
      </c>
      <c r="E15" s="33" t="inlineStr">
        <is>
          <t>N.2</t>
        </is>
      </c>
      <c r="F15" s="26">
        <f>IFERROR(INDEX(Amenazas MAGERIT!$A$2:$A$84,MATCH($E15,Amenazas MAGERIT!$B$2:$B$84,0)),"")</f>
        <v/>
      </c>
      <c r="G15" s="8">
        <f>IFERROR(VLOOKUP($E15,Amenazas MAGERIT!$B$2:$D$84,2,FALSE),"")</f>
        <v/>
      </c>
      <c r="H15" s="35">
        <f>IFERROR(VLOOKUP($E15,Amenazas MAGERIT!$B$2:$D$84,3,FALSE),"")</f>
        <v/>
      </c>
      <c r="I15" s="36" t="inlineStr">
        <is>
          <t>CPD ubicado en planta baja de un edificio en zona con riesgo de inundación.</t>
        </is>
      </c>
      <c r="J15" s="36" t="inlineStr">
        <is>
          <t>Sistema de detección de agua básico.</t>
        </is>
      </c>
      <c r="K15" s="33" t="inlineStr">
        <is>
          <t>MB</t>
        </is>
      </c>
      <c r="L15" s="33" t="inlineStr">
        <is>
          <t>MA</t>
        </is>
      </c>
      <c r="M15" s="29">
        <f>IFERROR(INDEX(MatrizRiesgo,MATCH($K15,Orden,0),MATCH($L15,Orden,0)),"")</f>
        <v/>
      </c>
      <c r="N15" s="33" t="inlineStr">
        <is>
          <t>Mitigar</t>
        </is>
      </c>
      <c r="O15" s="36" t="inlineStr">
        <is>
          <t>Evaluar reubicación de equipos críticos a planta superior y mejorar el plan de continuidad.</t>
        </is>
      </c>
      <c r="P15" s="33" t="inlineStr">
        <is>
          <t>MB</t>
        </is>
      </c>
      <c r="Q15" s="33" t="inlineStr">
        <is>
          <t>A</t>
        </is>
      </c>
      <c r="R15" s="29">
        <f>IFERROR(INDEX(MatrizRiesgo,MATCH($P15,Orden,0),MATCH($Q15,Orden,0)),"")</f>
        <v/>
      </c>
      <c r="S15" s="32" t="inlineStr">
        <is>
          <t>Responsable de Infraestructura</t>
        </is>
      </c>
      <c r="T15" s="33" t="inlineStr">
        <is>
          <t>2027-03-31</t>
        </is>
      </c>
      <c r="U15" s="33" t="inlineStr">
        <is>
          <t>Pendiente</t>
        </is>
      </c>
    </row>
    <row r="16">
      <c r="A16" s="26">
        <f>IF(B16="","","R-"&amp;TEXT(ROW()-1,"00"))</f>
        <v/>
      </c>
      <c r="B16" s="5" t="n"/>
      <c r="C16" s="5" t="n"/>
      <c r="D16" s="30">
        <f>IFERROR(INDEX(Activos!$F$2:$J$25,MATCH($B16,Activos!$B$2:$B$25,0),MATCH($C16,{"D","I","C","A","T"},0)),"")</f>
        <v/>
      </c>
      <c r="E16" s="5" t="n"/>
      <c r="F16" s="26">
        <f>IFERROR(INDEX(Amenazas MAGERIT!$A$2:$A$84,MATCH($E16,Amenazas MAGERIT!$B$2:$B$84,0)),"")</f>
        <v/>
      </c>
      <c r="G16" s="26">
        <f>IFERROR(VLOOKUP($E16,Amenazas MAGERIT!$B$2:$D$84,2,FALSE),"")</f>
        <v/>
      </c>
      <c r="H16" s="26">
        <f>IFERROR(VLOOKUP($E16,Amenazas MAGERIT!$B$2:$D$84,3,FALSE),"")</f>
        <v/>
      </c>
      <c r="I16" s="5" t="n"/>
      <c r="J16" s="5" t="n"/>
      <c r="K16" s="5" t="n"/>
      <c r="L16" s="5" t="n"/>
      <c r="M16" s="30">
        <f>IFERROR(INDEX(MatrizRiesgo,MATCH($K16,Orden,0),MATCH($L16,Orden,0)),"")</f>
        <v/>
      </c>
      <c r="N16" s="5" t="n"/>
      <c r="O16" s="5" t="n"/>
      <c r="P16" s="5" t="n"/>
      <c r="Q16" s="5" t="n"/>
      <c r="R16" s="30">
        <f>IFERROR(INDEX(MatrizRiesgo,MATCH($P16,Orden,0),MATCH($Q16,Orden,0)),"")</f>
        <v/>
      </c>
      <c r="S16" s="5" t="n"/>
      <c r="T16" s="5" t="n"/>
      <c r="U16" s="5" t="n"/>
    </row>
    <row r="17">
      <c r="A17" s="26">
        <f>IF(B17="","","R-"&amp;TEXT(ROW()-1,"00"))</f>
        <v/>
      </c>
      <c r="B17" s="5" t="n"/>
      <c r="C17" s="5" t="n"/>
      <c r="D17" s="30">
        <f>IFERROR(INDEX(Activos!$F$2:$J$25,MATCH($B17,Activos!$B$2:$B$25,0),MATCH($C17,{"D","I","C","A","T"},0)),"")</f>
        <v/>
      </c>
      <c r="E17" s="5" t="n"/>
      <c r="F17" s="26">
        <f>IFERROR(INDEX(Amenazas MAGERIT!$A$2:$A$84,MATCH($E17,Amenazas MAGERIT!$B$2:$B$84,0)),"")</f>
        <v/>
      </c>
      <c r="G17" s="26">
        <f>IFERROR(VLOOKUP($E17,Amenazas MAGERIT!$B$2:$D$84,2,FALSE),"")</f>
        <v/>
      </c>
      <c r="H17" s="26">
        <f>IFERROR(VLOOKUP($E17,Amenazas MAGERIT!$B$2:$D$84,3,FALSE),"")</f>
        <v/>
      </c>
      <c r="I17" s="5" t="n"/>
      <c r="J17" s="5" t="n"/>
      <c r="K17" s="5" t="n"/>
      <c r="L17" s="5" t="n"/>
      <c r="M17" s="30">
        <f>IFERROR(INDEX(MatrizRiesgo,MATCH($K17,Orden,0),MATCH($L17,Orden,0)),"")</f>
        <v/>
      </c>
      <c r="N17" s="5" t="n"/>
      <c r="O17" s="5" t="n"/>
      <c r="P17" s="5" t="n"/>
      <c r="Q17" s="5" t="n"/>
      <c r="R17" s="30">
        <f>IFERROR(INDEX(MatrizRiesgo,MATCH($P17,Orden,0),MATCH($Q17,Orden,0)),"")</f>
        <v/>
      </c>
      <c r="S17" s="5" t="n"/>
      <c r="T17" s="5" t="n"/>
      <c r="U17" s="5" t="n"/>
    </row>
    <row r="18">
      <c r="A18" s="26">
        <f>IF(B18="","","R-"&amp;TEXT(ROW()-1,"00"))</f>
        <v/>
      </c>
      <c r="B18" s="5" t="n"/>
      <c r="C18" s="5" t="n"/>
      <c r="D18" s="30">
        <f>IFERROR(INDEX(Activos!$F$2:$J$25,MATCH($B18,Activos!$B$2:$B$25,0),MATCH($C18,{"D","I","C","A","T"},0)),"")</f>
        <v/>
      </c>
      <c r="E18" s="5" t="n"/>
      <c r="F18" s="26">
        <f>IFERROR(INDEX(Amenazas MAGERIT!$A$2:$A$84,MATCH($E18,Amenazas MAGERIT!$B$2:$B$84,0)),"")</f>
        <v/>
      </c>
      <c r="G18" s="26">
        <f>IFERROR(VLOOKUP($E18,Amenazas MAGERIT!$B$2:$D$84,2,FALSE),"")</f>
        <v/>
      </c>
      <c r="H18" s="26">
        <f>IFERROR(VLOOKUP($E18,Amenazas MAGERIT!$B$2:$D$84,3,FALSE),"")</f>
        <v/>
      </c>
      <c r="I18" s="5" t="n"/>
      <c r="J18" s="5" t="n"/>
      <c r="K18" s="5" t="n"/>
      <c r="L18" s="5" t="n"/>
      <c r="M18" s="30">
        <f>IFERROR(INDEX(MatrizRiesgo,MATCH($K18,Orden,0),MATCH($L18,Orden,0)),"")</f>
        <v/>
      </c>
      <c r="N18" s="5" t="n"/>
      <c r="O18" s="5" t="n"/>
      <c r="P18" s="5" t="n"/>
      <c r="Q18" s="5" t="n"/>
      <c r="R18" s="30">
        <f>IFERROR(INDEX(MatrizRiesgo,MATCH($P18,Orden,0),MATCH($Q18,Orden,0)),"")</f>
        <v/>
      </c>
      <c r="S18" s="5" t="n"/>
      <c r="T18" s="5" t="n"/>
      <c r="U18" s="5" t="n"/>
    </row>
    <row r="19">
      <c r="A19" s="26">
        <f>IF(B19="","","R-"&amp;TEXT(ROW()-1,"00"))</f>
        <v/>
      </c>
      <c r="B19" s="5" t="n"/>
      <c r="C19" s="5" t="n"/>
      <c r="D19" s="30">
        <f>IFERROR(INDEX(Activos!$F$2:$J$25,MATCH($B19,Activos!$B$2:$B$25,0),MATCH($C19,{"D","I","C","A","T"},0)),"")</f>
        <v/>
      </c>
      <c r="E19" s="5" t="n"/>
      <c r="F19" s="26">
        <f>IFERROR(INDEX(Amenazas MAGERIT!$A$2:$A$84,MATCH($E19,Amenazas MAGERIT!$B$2:$B$84,0)),"")</f>
        <v/>
      </c>
      <c r="G19" s="26">
        <f>IFERROR(VLOOKUP($E19,Amenazas MAGERIT!$B$2:$D$84,2,FALSE),"")</f>
        <v/>
      </c>
      <c r="H19" s="26">
        <f>IFERROR(VLOOKUP($E19,Amenazas MAGERIT!$B$2:$D$84,3,FALSE),"")</f>
        <v/>
      </c>
      <c r="I19" s="5" t="n"/>
      <c r="J19" s="5" t="n"/>
      <c r="K19" s="5" t="n"/>
      <c r="L19" s="5" t="n"/>
      <c r="M19" s="30">
        <f>IFERROR(INDEX(MatrizRiesgo,MATCH($K19,Orden,0),MATCH($L19,Orden,0)),"")</f>
        <v/>
      </c>
      <c r="N19" s="5" t="n"/>
      <c r="O19" s="5" t="n"/>
      <c r="P19" s="5" t="n"/>
      <c r="Q19" s="5" t="n"/>
      <c r="R19" s="30">
        <f>IFERROR(INDEX(MatrizRiesgo,MATCH($P19,Orden,0),MATCH($Q19,Orden,0)),"")</f>
        <v/>
      </c>
      <c r="S19" s="5" t="n"/>
      <c r="T19" s="5" t="n"/>
      <c r="U19" s="5" t="n"/>
    </row>
    <row r="20">
      <c r="A20" s="26">
        <f>IF(B20="","","R-"&amp;TEXT(ROW()-1,"00"))</f>
        <v/>
      </c>
      <c r="B20" s="5" t="n"/>
      <c r="C20" s="5" t="n"/>
      <c r="D20" s="30">
        <f>IFERROR(INDEX(Activos!$F$2:$J$25,MATCH($B20,Activos!$B$2:$B$25,0),MATCH($C20,{"D","I","C","A","T"},0)),"")</f>
        <v/>
      </c>
      <c r="E20" s="5" t="n"/>
      <c r="F20" s="26">
        <f>IFERROR(INDEX(Amenazas MAGERIT!$A$2:$A$84,MATCH($E20,Amenazas MAGERIT!$B$2:$B$84,0)),"")</f>
        <v/>
      </c>
      <c r="G20" s="26">
        <f>IFERROR(VLOOKUP($E20,Amenazas MAGERIT!$B$2:$D$84,2,FALSE),"")</f>
        <v/>
      </c>
      <c r="H20" s="26">
        <f>IFERROR(VLOOKUP($E20,Amenazas MAGERIT!$B$2:$D$84,3,FALSE),"")</f>
        <v/>
      </c>
      <c r="I20" s="5" t="n"/>
      <c r="J20" s="5" t="n"/>
      <c r="K20" s="5" t="n"/>
      <c r="L20" s="5" t="n"/>
      <c r="M20" s="30">
        <f>IFERROR(INDEX(MatrizRiesgo,MATCH($K20,Orden,0),MATCH($L20,Orden,0)),"")</f>
        <v/>
      </c>
      <c r="N20" s="5" t="n"/>
      <c r="O20" s="5" t="n"/>
      <c r="P20" s="5" t="n"/>
      <c r="Q20" s="5" t="n"/>
      <c r="R20" s="30">
        <f>IFERROR(INDEX(MatrizRiesgo,MATCH($P20,Orden,0),MATCH($Q20,Orden,0)),"")</f>
        <v/>
      </c>
      <c r="S20" s="5" t="n"/>
      <c r="T20" s="5" t="n"/>
      <c r="U20" s="5" t="n"/>
    </row>
    <row r="21">
      <c r="A21" s="26">
        <f>IF(B21="","","R-"&amp;TEXT(ROW()-1,"00"))</f>
        <v/>
      </c>
      <c r="B21" s="5" t="n"/>
      <c r="C21" s="5" t="n"/>
      <c r="D21" s="30">
        <f>IFERROR(INDEX(Activos!$F$2:$J$25,MATCH($B21,Activos!$B$2:$B$25,0),MATCH($C21,{"D","I","C","A","T"},0)),"")</f>
        <v/>
      </c>
      <c r="E21" s="5" t="n"/>
      <c r="F21" s="26">
        <f>IFERROR(INDEX(Amenazas MAGERIT!$A$2:$A$84,MATCH($E21,Amenazas MAGERIT!$B$2:$B$84,0)),"")</f>
        <v/>
      </c>
      <c r="G21" s="26">
        <f>IFERROR(VLOOKUP($E21,Amenazas MAGERIT!$B$2:$D$84,2,FALSE),"")</f>
        <v/>
      </c>
      <c r="H21" s="26">
        <f>IFERROR(VLOOKUP($E21,Amenazas MAGERIT!$B$2:$D$84,3,FALSE),"")</f>
        <v/>
      </c>
      <c r="I21" s="5" t="n"/>
      <c r="J21" s="5" t="n"/>
      <c r="K21" s="5" t="n"/>
      <c r="L21" s="5" t="n"/>
      <c r="M21" s="30">
        <f>IFERROR(INDEX(MatrizRiesgo,MATCH($K21,Orden,0),MATCH($L21,Orden,0)),"")</f>
        <v/>
      </c>
      <c r="N21" s="5" t="n"/>
      <c r="O21" s="5" t="n"/>
      <c r="P21" s="5" t="n"/>
      <c r="Q21" s="5" t="n"/>
      <c r="R21" s="30">
        <f>IFERROR(INDEX(MatrizRiesgo,MATCH($P21,Orden,0),MATCH($Q21,Orden,0)),"")</f>
        <v/>
      </c>
      <c r="S21" s="5" t="n"/>
      <c r="T21" s="5" t="n"/>
      <c r="U21" s="5" t="n"/>
    </row>
    <row r="22">
      <c r="A22" s="26">
        <f>IF(B22="","","R-"&amp;TEXT(ROW()-1,"00"))</f>
        <v/>
      </c>
      <c r="B22" s="5" t="n"/>
      <c r="C22" s="5" t="n"/>
      <c r="D22" s="30">
        <f>IFERROR(INDEX(Activos!$F$2:$J$25,MATCH($B22,Activos!$B$2:$B$25,0),MATCH($C22,{"D","I","C","A","T"},0)),"")</f>
        <v/>
      </c>
      <c r="E22" s="5" t="n"/>
      <c r="F22" s="26">
        <f>IFERROR(INDEX(Amenazas MAGERIT!$A$2:$A$84,MATCH($E22,Amenazas MAGERIT!$B$2:$B$84,0)),"")</f>
        <v/>
      </c>
      <c r="G22" s="26">
        <f>IFERROR(VLOOKUP($E22,Amenazas MAGERIT!$B$2:$D$84,2,FALSE),"")</f>
        <v/>
      </c>
      <c r="H22" s="26">
        <f>IFERROR(VLOOKUP($E22,Amenazas MAGERIT!$B$2:$D$84,3,FALSE),"")</f>
        <v/>
      </c>
      <c r="I22" s="5" t="n"/>
      <c r="J22" s="5" t="n"/>
      <c r="K22" s="5" t="n"/>
      <c r="L22" s="5" t="n"/>
      <c r="M22" s="30">
        <f>IFERROR(INDEX(MatrizRiesgo,MATCH($K22,Orden,0),MATCH($L22,Orden,0)),"")</f>
        <v/>
      </c>
      <c r="N22" s="5" t="n"/>
      <c r="O22" s="5" t="n"/>
      <c r="P22" s="5" t="n"/>
      <c r="Q22" s="5" t="n"/>
      <c r="R22" s="30">
        <f>IFERROR(INDEX(MatrizRiesgo,MATCH($P22,Orden,0),MATCH($Q22,Orden,0)),"")</f>
        <v/>
      </c>
      <c r="S22" s="5" t="n"/>
      <c r="T22" s="5" t="n"/>
      <c r="U22" s="5" t="n"/>
    </row>
    <row r="23">
      <c r="A23" s="26">
        <f>IF(B23="","","R-"&amp;TEXT(ROW()-1,"00"))</f>
        <v/>
      </c>
      <c r="B23" s="5" t="n"/>
      <c r="C23" s="5" t="n"/>
      <c r="D23" s="30">
        <f>IFERROR(INDEX(Activos!$F$2:$J$25,MATCH($B23,Activos!$B$2:$B$25,0),MATCH($C23,{"D","I","C","A","T"},0)),"")</f>
        <v/>
      </c>
      <c r="E23" s="5" t="n"/>
      <c r="F23" s="26">
        <f>IFERROR(INDEX(Amenazas MAGERIT!$A$2:$A$84,MATCH($E23,Amenazas MAGERIT!$B$2:$B$84,0)),"")</f>
        <v/>
      </c>
      <c r="G23" s="26">
        <f>IFERROR(VLOOKUP($E23,Amenazas MAGERIT!$B$2:$D$84,2,FALSE),"")</f>
        <v/>
      </c>
      <c r="H23" s="26">
        <f>IFERROR(VLOOKUP($E23,Amenazas MAGERIT!$B$2:$D$84,3,FALSE),"")</f>
        <v/>
      </c>
      <c r="I23" s="5" t="n"/>
      <c r="J23" s="5" t="n"/>
      <c r="K23" s="5" t="n"/>
      <c r="L23" s="5" t="n"/>
      <c r="M23" s="30">
        <f>IFERROR(INDEX(MatrizRiesgo,MATCH($K23,Orden,0),MATCH($L23,Orden,0)),"")</f>
        <v/>
      </c>
      <c r="N23" s="5" t="n"/>
      <c r="O23" s="5" t="n"/>
      <c r="P23" s="5" t="n"/>
      <c r="Q23" s="5" t="n"/>
      <c r="R23" s="30">
        <f>IFERROR(INDEX(MatrizRiesgo,MATCH($P23,Orden,0),MATCH($Q23,Orden,0)),"")</f>
        <v/>
      </c>
      <c r="S23" s="5" t="n"/>
      <c r="T23" s="5" t="n"/>
      <c r="U23" s="5" t="n"/>
    </row>
    <row r="24">
      <c r="A24" s="26">
        <f>IF(B24="","","R-"&amp;TEXT(ROW()-1,"00"))</f>
        <v/>
      </c>
      <c r="B24" s="5" t="n"/>
      <c r="C24" s="5" t="n"/>
      <c r="D24" s="30">
        <f>IFERROR(INDEX(Activos!$F$2:$J$25,MATCH($B24,Activos!$B$2:$B$25,0),MATCH($C24,{"D","I","C","A","T"},0)),"")</f>
        <v/>
      </c>
      <c r="E24" s="5" t="n"/>
      <c r="F24" s="26">
        <f>IFERROR(INDEX(Amenazas MAGERIT!$A$2:$A$84,MATCH($E24,Amenazas MAGERIT!$B$2:$B$84,0)),"")</f>
        <v/>
      </c>
      <c r="G24" s="26">
        <f>IFERROR(VLOOKUP($E24,Amenazas MAGERIT!$B$2:$D$84,2,FALSE),"")</f>
        <v/>
      </c>
      <c r="H24" s="26">
        <f>IFERROR(VLOOKUP($E24,Amenazas MAGERIT!$B$2:$D$84,3,FALSE),"")</f>
        <v/>
      </c>
      <c r="I24" s="5" t="n"/>
      <c r="J24" s="5" t="n"/>
      <c r="K24" s="5" t="n"/>
      <c r="L24" s="5" t="n"/>
      <c r="M24" s="30">
        <f>IFERROR(INDEX(MatrizRiesgo,MATCH($K24,Orden,0),MATCH($L24,Orden,0)),"")</f>
        <v/>
      </c>
      <c r="N24" s="5" t="n"/>
      <c r="O24" s="5" t="n"/>
      <c r="P24" s="5" t="n"/>
      <c r="Q24" s="5" t="n"/>
      <c r="R24" s="30">
        <f>IFERROR(INDEX(MatrizRiesgo,MATCH($P24,Orden,0),MATCH($Q24,Orden,0)),"")</f>
        <v/>
      </c>
      <c r="S24" s="5" t="n"/>
      <c r="T24" s="5" t="n"/>
      <c r="U24" s="5" t="n"/>
    </row>
    <row r="25">
      <c r="A25" s="26">
        <f>IF(B25="","","R-"&amp;TEXT(ROW()-1,"00"))</f>
        <v/>
      </c>
      <c r="B25" s="5" t="n"/>
      <c r="C25" s="5" t="n"/>
      <c r="D25" s="30">
        <f>IFERROR(INDEX(Activos!$F$2:$J$25,MATCH($B25,Activos!$B$2:$B$25,0),MATCH($C25,{"D","I","C","A","T"},0)),"")</f>
        <v/>
      </c>
      <c r="E25" s="5" t="n"/>
      <c r="F25" s="26">
        <f>IFERROR(INDEX(Amenazas MAGERIT!$A$2:$A$84,MATCH($E25,Amenazas MAGERIT!$B$2:$B$84,0)),"")</f>
        <v/>
      </c>
      <c r="G25" s="26">
        <f>IFERROR(VLOOKUP($E25,Amenazas MAGERIT!$B$2:$D$84,2,FALSE),"")</f>
        <v/>
      </c>
      <c r="H25" s="26">
        <f>IFERROR(VLOOKUP($E25,Amenazas MAGERIT!$B$2:$D$84,3,FALSE),"")</f>
        <v/>
      </c>
      <c r="I25" s="5" t="n"/>
      <c r="J25" s="5" t="n"/>
      <c r="K25" s="5" t="n"/>
      <c r="L25" s="5" t="n"/>
      <c r="M25" s="30">
        <f>IFERROR(INDEX(MatrizRiesgo,MATCH($K25,Orden,0),MATCH($L25,Orden,0)),"")</f>
        <v/>
      </c>
      <c r="N25" s="5" t="n"/>
      <c r="O25" s="5" t="n"/>
      <c r="P25" s="5" t="n"/>
      <c r="Q25" s="5" t="n"/>
      <c r="R25" s="30">
        <f>IFERROR(INDEX(MatrizRiesgo,MATCH($P25,Orden,0),MATCH($Q25,Orden,0)),"")</f>
        <v/>
      </c>
      <c r="S25" s="5" t="n"/>
      <c r="T25" s="5" t="n"/>
      <c r="U25" s="5" t="n"/>
    </row>
    <row r="26">
      <c r="A26" s="26">
        <f>IF(B26="","","R-"&amp;TEXT(ROW()-1,"00"))</f>
        <v/>
      </c>
      <c r="B26" s="5" t="n"/>
      <c r="C26" s="5" t="n"/>
      <c r="D26" s="30">
        <f>IFERROR(INDEX(Activos!$F$2:$J$25,MATCH($B26,Activos!$B$2:$B$25,0),MATCH($C26,{"D","I","C","A","T"},0)),"")</f>
        <v/>
      </c>
      <c r="E26" s="5" t="n"/>
      <c r="F26" s="26">
        <f>IFERROR(INDEX(Amenazas MAGERIT!$A$2:$A$84,MATCH($E26,Amenazas MAGERIT!$B$2:$B$84,0)),"")</f>
        <v/>
      </c>
      <c r="G26" s="26">
        <f>IFERROR(VLOOKUP($E26,Amenazas MAGERIT!$B$2:$D$84,2,FALSE),"")</f>
        <v/>
      </c>
      <c r="H26" s="26">
        <f>IFERROR(VLOOKUP($E26,Amenazas MAGERIT!$B$2:$D$84,3,FALSE),"")</f>
        <v/>
      </c>
      <c r="I26" s="5" t="n"/>
      <c r="J26" s="5" t="n"/>
      <c r="K26" s="5" t="n"/>
      <c r="L26" s="5" t="n"/>
      <c r="M26" s="30">
        <f>IFERROR(INDEX(MatrizRiesgo,MATCH($K26,Orden,0),MATCH($L26,Orden,0)),"")</f>
        <v/>
      </c>
      <c r="N26" s="5" t="n"/>
      <c r="O26" s="5" t="n"/>
      <c r="P26" s="5" t="n"/>
      <c r="Q26" s="5" t="n"/>
      <c r="R26" s="30">
        <f>IFERROR(INDEX(MatrizRiesgo,MATCH($P26,Orden,0),MATCH($Q26,Orden,0)),"")</f>
        <v/>
      </c>
      <c r="S26" s="5" t="n"/>
      <c r="T26" s="5" t="n"/>
      <c r="U26" s="5" t="n"/>
    </row>
    <row r="27">
      <c r="A27" s="26">
        <f>IF(B27="","","R-"&amp;TEXT(ROW()-1,"00"))</f>
        <v/>
      </c>
      <c r="B27" s="5" t="n"/>
      <c r="C27" s="5" t="n"/>
      <c r="D27" s="30">
        <f>IFERROR(INDEX(Activos!$F$2:$J$25,MATCH($B27,Activos!$B$2:$B$25,0),MATCH($C27,{"D","I","C","A","T"},0)),"")</f>
        <v/>
      </c>
      <c r="E27" s="5" t="n"/>
      <c r="F27" s="26">
        <f>IFERROR(INDEX(Amenazas MAGERIT!$A$2:$A$84,MATCH($E27,Amenazas MAGERIT!$B$2:$B$84,0)),"")</f>
        <v/>
      </c>
      <c r="G27" s="26">
        <f>IFERROR(VLOOKUP($E27,Amenazas MAGERIT!$B$2:$D$84,2,FALSE),"")</f>
        <v/>
      </c>
      <c r="H27" s="26">
        <f>IFERROR(VLOOKUP($E27,Amenazas MAGERIT!$B$2:$D$84,3,FALSE),"")</f>
        <v/>
      </c>
      <c r="I27" s="5" t="n"/>
      <c r="J27" s="5" t="n"/>
      <c r="K27" s="5" t="n"/>
      <c r="L27" s="5" t="n"/>
      <c r="M27" s="30">
        <f>IFERROR(INDEX(MatrizRiesgo,MATCH($K27,Orden,0),MATCH($L27,Orden,0)),"")</f>
        <v/>
      </c>
      <c r="N27" s="5" t="n"/>
      <c r="O27" s="5" t="n"/>
      <c r="P27" s="5" t="n"/>
      <c r="Q27" s="5" t="n"/>
      <c r="R27" s="30">
        <f>IFERROR(INDEX(MatrizRiesgo,MATCH($P27,Orden,0),MATCH($Q27,Orden,0)),"")</f>
        <v/>
      </c>
      <c r="S27" s="5" t="n"/>
      <c r="T27" s="5" t="n"/>
      <c r="U27" s="5" t="n"/>
    </row>
    <row r="28">
      <c r="A28" s="26">
        <f>IF(B28="","","R-"&amp;TEXT(ROW()-1,"00"))</f>
        <v/>
      </c>
      <c r="B28" s="5" t="n"/>
      <c r="C28" s="5" t="n"/>
      <c r="D28" s="30">
        <f>IFERROR(INDEX(Activos!$F$2:$J$25,MATCH($B28,Activos!$B$2:$B$25,0),MATCH($C28,{"D","I","C","A","T"},0)),"")</f>
        <v/>
      </c>
      <c r="E28" s="5" t="n"/>
      <c r="F28" s="26">
        <f>IFERROR(INDEX(Amenazas MAGERIT!$A$2:$A$84,MATCH($E28,Amenazas MAGERIT!$B$2:$B$84,0)),"")</f>
        <v/>
      </c>
      <c r="G28" s="26">
        <f>IFERROR(VLOOKUP($E28,Amenazas MAGERIT!$B$2:$D$84,2,FALSE),"")</f>
        <v/>
      </c>
      <c r="H28" s="26">
        <f>IFERROR(VLOOKUP($E28,Amenazas MAGERIT!$B$2:$D$84,3,FALSE),"")</f>
        <v/>
      </c>
      <c r="I28" s="5" t="n"/>
      <c r="J28" s="5" t="n"/>
      <c r="K28" s="5" t="n"/>
      <c r="L28" s="5" t="n"/>
      <c r="M28" s="30">
        <f>IFERROR(INDEX(MatrizRiesgo,MATCH($K28,Orden,0),MATCH($L28,Orden,0)),"")</f>
        <v/>
      </c>
      <c r="N28" s="5" t="n"/>
      <c r="O28" s="5" t="n"/>
      <c r="P28" s="5" t="n"/>
      <c r="Q28" s="5" t="n"/>
      <c r="R28" s="30">
        <f>IFERROR(INDEX(MatrizRiesgo,MATCH($P28,Orden,0),MATCH($Q28,Orden,0)),"")</f>
        <v/>
      </c>
      <c r="S28" s="5" t="n"/>
      <c r="T28" s="5" t="n"/>
      <c r="U28" s="5" t="n"/>
    </row>
    <row r="29">
      <c r="A29" s="26">
        <f>IF(B29="","","R-"&amp;TEXT(ROW()-1,"00"))</f>
        <v/>
      </c>
      <c r="B29" s="5" t="n"/>
      <c r="C29" s="5" t="n"/>
      <c r="D29" s="30">
        <f>IFERROR(INDEX(Activos!$F$2:$J$25,MATCH($B29,Activos!$B$2:$B$25,0),MATCH($C29,{"D","I","C","A","T"},0)),"")</f>
        <v/>
      </c>
      <c r="E29" s="5" t="n"/>
      <c r="F29" s="26">
        <f>IFERROR(INDEX(Amenazas MAGERIT!$A$2:$A$84,MATCH($E29,Amenazas MAGERIT!$B$2:$B$84,0)),"")</f>
        <v/>
      </c>
      <c r="G29" s="26">
        <f>IFERROR(VLOOKUP($E29,Amenazas MAGERIT!$B$2:$D$84,2,FALSE),"")</f>
        <v/>
      </c>
      <c r="H29" s="26">
        <f>IFERROR(VLOOKUP($E29,Amenazas MAGERIT!$B$2:$D$84,3,FALSE),"")</f>
        <v/>
      </c>
      <c r="I29" s="5" t="n"/>
      <c r="J29" s="5" t="n"/>
      <c r="K29" s="5" t="n"/>
      <c r="L29" s="5" t="n"/>
      <c r="M29" s="30">
        <f>IFERROR(INDEX(MatrizRiesgo,MATCH($K29,Orden,0),MATCH($L29,Orden,0)),"")</f>
        <v/>
      </c>
      <c r="N29" s="5" t="n"/>
      <c r="O29" s="5" t="n"/>
      <c r="P29" s="5" t="n"/>
      <c r="Q29" s="5" t="n"/>
      <c r="R29" s="30">
        <f>IFERROR(INDEX(MatrizRiesgo,MATCH($P29,Orden,0),MATCH($Q29,Orden,0)),"")</f>
        <v/>
      </c>
      <c r="S29" s="5" t="n"/>
      <c r="T29" s="5" t="n"/>
      <c r="U29" s="5" t="n"/>
    </row>
    <row r="30">
      <c r="A30" s="26">
        <f>IF(B30="","","R-"&amp;TEXT(ROW()-1,"00"))</f>
        <v/>
      </c>
      <c r="B30" s="5" t="n"/>
      <c r="C30" s="5" t="n"/>
      <c r="D30" s="30">
        <f>IFERROR(INDEX(Activos!$F$2:$J$25,MATCH($B30,Activos!$B$2:$B$25,0),MATCH($C30,{"D","I","C","A","T"},0)),"")</f>
        <v/>
      </c>
      <c r="E30" s="5" t="n"/>
      <c r="F30" s="26">
        <f>IFERROR(INDEX(Amenazas MAGERIT!$A$2:$A$84,MATCH($E30,Amenazas MAGERIT!$B$2:$B$84,0)),"")</f>
        <v/>
      </c>
      <c r="G30" s="26">
        <f>IFERROR(VLOOKUP($E30,Amenazas MAGERIT!$B$2:$D$84,2,FALSE),"")</f>
        <v/>
      </c>
      <c r="H30" s="26">
        <f>IFERROR(VLOOKUP($E30,Amenazas MAGERIT!$B$2:$D$84,3,FALSE),"")</f>
        <v/>
      </c>
      <c r="I30" s="5" t="n"/>
      <c r="J30" s="5" t="n"/>
      <c r="K30" s="5" t="n"/>
      <c r="L30" s="5" t="n"/>
      <c r="M30" s="30">
        <f>IFERROR(INDEX(MatrizRiesgo,MATCH($K30,Orden,0),MATCH($L30,Orden,0)),"")</f>
        <v/>
      </c>
      <c r="N30" s="5" t="n"/>
      <c r="O30" s="5" t="n"/>
      <c r="P30" s="5" t="n"/>
      <c r="Q30" s="5" t="n"/>
      <c r="R30" s="30">
        <f>IFERROR(INDEX(MatrizRiesgo,MATCH($P30,Orden,0),MATCH($Q30,Orden,0)),"")</f>
        <v/>
      </c>
      <c r="S30" s="5" t="n"/>
      <c r="T30" s="5" t="n"/>
      <c r="U30" s="5" t="n"/>
    </row>
    <row r="31">
      <c r="A31" s="26">
        <f>IF(B31="","","R-"&amp;TEXT(ROW()-1,"00"))</f>
        <v/>
      </c>
      <c r="B31" s="5" t="n"/>
      <c r="C31" s="5" t="n"/>
      <c r="D31" s="30">
        <f>IFERROR(INDEX(Activos!$F$2:$J$25,MATCH($B31,Activos!$B$2:$B$25,0),MATCH($C31,{"D","I","C","A","T"},0)),"")</f>
        <v/>
      </c>
      <c r="E31" s="5" t="n"/>
      <c r="F31" s="26">
        <f>IFERROR(INDEX(Amenazas MAGERIT!$A$2:$A$84,MATCH($E31,Amenazas MAGERIT!$B$2:$B$84,0)),"")</f>
        <v/>
      </c>
      <c r="G31" s="26">
        <f>IFERROR(VLOOKUP($E31,Amenazas MAGERIT!$B$2:$D$84,2,FALSE),"")</f>
        <v/>
      </c>
      <c r="H31" s="26">
        <f>IFERROR(VLOOKUP($E31,Amenazas MAGERIT!$B$2:$D$84,3,FALSE),"")</f>
        <v/>
      </c>
      <c r="I31" s="5" t="n"/>
      <c r="J31" s="5" t="n"/>
      <c r="K31" s="5" t="n"/>
      <c r="L31" s="5" t="n"/>
      <c r="M31" s="30">
        <f>IFERROR(INDEX(MatrizRiesgo,MATCH($K31,Orden,0),MATCH($L31,Orden,0)),"")</f>
        <v/>
      </c>
      <c r="N31" s="5" t="n"/>
      <c r="O31" s="5" t="n"/>
      <c r="P31" s="5" t="n"/>
      <c r="Q31" s="5" t="n"/>
      <c r="R31" s="30">
        <f>IFERROR(INDEX(MatrizRiesgo,MATCH($P31,Orden,0),MATCH($Q31,Orden,0)),"")</f>
        <v/>
      </c>
      <c r="S31" s="5" t="n"/>
      <c r="T31" s="5" t="n"/>
      <c r="U31" s="5" t="n"/>
    </row>
    <row r="32">
      <c r="A32" s="26">
        <f>IF(B32="","","R-"&amp;TEXT(ROW()-1,"00"))</f>
        <v/>
      </c>
      <c r="B32" s="5" t="n"/>
      <c r="C32" s="5" t="n"/>
      <c r="D32" s="30">
        <f>IFERROR(INDEX(Activos!$F$2:$J$25,MATCH($B32,Activos!$B$2:$B$25,0),MATCH($C32,{"D","I","C","A","T"},0)),"")</f>
        <v/>
      </c>
      <c r="E32" s="5" t="n"/>
      <c r="F32" s="26">
        <f>IFERROR(INDEX(Amenazas MAGERIT!$A$2:$A$84,MATCH($E32,Amenazas MAGERIT!$B$2:$B$84,0)),"")</f>
        <v/>
      </c>
      <c r="G32" s="26">
        <f>IFERROR(VLOOKUP($E32,Amenazas MAGERIT!$B$2:$D$84,2,FALSE),"")</f>
        <v/>
      </c>
      <c r="H32" s="26">
        <f>IFERROR(VLOOKUP($E32,Amenazas MAGERIT!$B$2:$D$84,3,FALSE),"")</f>
        <v/>
      </c>
      <c r="I32" s="5" t="n"/>
      <c r="J32" s="5" t="n"/>
      <c r="K32" s="5" t="n"/>
      <c r="L32" s="5" t="n"/>
      <c r="M32" s="30">
        <f>IFERROR(INDEX(MatrizRiesgo,MATCH($K32,Orden,0),MATCH($L32,Orden,0)),"")</f>
        <v/>
      </c>
      <c r="N32" s="5" t="n"/>
      <c r="O32" s="5" t="n"/>
      <c r="P32" s="5" t="n"/>
      <c r="Q32" s="5" t="n"/>
      <c r="R32" s="30">
        <f>IFERROR(INDEX(MatrizRiesgo,MATCH($P32,Orden,0),MATCH($Q32,Orden,0)),"")</f>
        <v/>
      </c>
      <c r="S32" s="5" t="n"/>
      <c r="T32" s="5" t="n"/>
      <c r="U32" s="5" t="n"/>
    </row>
    <row r="33">
      <c r="A33" s="26">
        <f>IF(B33="","","R-"&amp;TEXT(ROW()-1,"00"))</f>
        <v/>
      </c>
      <c r="B33" s="5" t="n"/>
      <c r="C33" s="5" t="n"/>
      <c r="D33" s="30">
        <f>IFERROR(INDEX(Activos!$F$2:$J$25,MATCH($B33,Activos!$B$2:$B$25,0),MATCH($C33,{"D","I","C","A","T"},0)),"")</f>
        <v/>
      </c>
      <c r="E33" s="5" t="n"/>
      <c r="F33" s="26">
        <f>IFERROR(INDEX(Amenazas MAGERIT!$A$2:$A$84,MATCH($E33,Amenazas MAGERIT!$B$2:$B$84,0)),"")</f>
        <v/>
      </c>
      <c r="G33" s="26">
        <f>IFERROR(VLOOKUP($E33,Amenazas MAGERIT!$B$2:$D$84,2,FALSE),"")</f>
        <v/>
      </c>
      <c r="H33" s="26">
        <f>IFERROR(VLOOKUP($E33,Amenazas MAGERIT!$B$2:$D$84,3,FALSE),"")</f>
        <v/>
      </c>
      <c r="I33" s="5" t="n"/>
      <c r="J33" s="5" t="n"/>
      <c r="K33" s="5" t="n"/>
      <c r="L33" s="5" t="n"/>
      <c r="M33" s="30">
        <f>IFERROR(INDEX(MatrizRiesgo,MATCH($K33,Orden,0),MATCH($L33,Orden,0)),"")</f>
        <v/>
      </c>
      <c r="N33" s="5" t="n"/>
      <c r="O33" s="5" t="n"/>
      <c r="P33" s="5" t="n"/>
      <c r="Q33" s="5" t="n"/>
      <c r="R33" s="30">
        <f>IFERROR(INDEX(MatrizRiesgo,MATCH($P33,Orden,0),MATCH($Q33,Orden,0)),"")</f>
        <v/>
      </c>
      <c r="S33" s="5" t="n"/>
      <c r="T33" s="5" t="n"/>
      <c r="U33" s="5" t="n"/>
    </row>
    <row r="34">
      <c r="A34" s="26">
        <f>IF(B34="","","R-"&amp;TEXT(ROW()-1,"00"))</f>
        <v/>
      </c>
      <c r="B34" s="5" t="n"/>
      <c r="C34" s="5" t="n"/>
      <c r="D34" s="30">
        <f>IFERROR(INDEX(Activos!$F$2:$J$25,MATCH($B34,Activos!$B$2:$B$25,0),MATCH($C34,{"D","I","C","A","T"},0)),"")</f>
        <v/>
      </c>
      <c r="E34" s="5" t="n"/>
      <c r="F34" s="26">
        <f>IFERROR(INDEX(Amenazas MAGERIT!$A$2:$A$84,MATCH($E34,Amenazas MAGERIT!$B$2:$B$84,0)),"")</f>
        <v/>
      </c>
      <c r="G34" s="26">
        <f>IFERROR(VLOOKUP($E34,Amenazas MAGERIT!$B$2:$D$84,2,FALSE),"")</f>
        <v/>
      </c>
      <c r="H34" s="26">
        <f>IFERROR(VLOOKUP($E34,Amenazas MAGERIT!$B$2:$D$84,3,FALSE),"")</f>
        <v/>
      </c>
      <c r="I34" s="5" t="n"/>
      <c r="J34" s="5" t="n"/>
      <c r="K34" s="5" t="n"/>
      <c r="L34" s="5" t="n"/>
      <c r="M34" s="30">
        <f>IFERROR(INDEX(MatrizRiesgo,MATCH($K34,Orden,0),MATCH($L34,Orden,0)),"")</f>
        <v/>
      </c>
      <c r="N34" s="5" t="n"/>
      <c r="O34" s="5" t="n"/>
      <c r="P34" s="5" t="n"/>
      <c r="Q34" s="5" t="n"/>
      <c r="R34" s="30">
        <f>IFERROR(INDEX(MatrizRiesgo,MATCH($P34,Orden,0),MATCH($Q34,Orden,0)),"")</f>
        <v/>
      </c>
      <c r="S34" s="5" t="n"/>
      <c r="T34" s="5" t="n"/>
      <c r="U34" s="5" t="n"/>
    </row>
    <row r="35">
      <c r="A35" s="26">
        <f>IF(B35="","","R-"&amp;TEXT(ROW()-1,"00"))</f>
        <v/>
      </c>
      <c r="B35" s="5" t="n"/>
      <c r="C35" s="5" t="n"/>
      <c r="D35" s="30">
        <f>IFERROR(INDEX(Activos!$F$2:$J$25,MATCH($B35,Activos!$B$2:$B$25,0),MATCH($C35,{"D","I","C","A","T"},0)),"")</f>
        <v/>
      </c>
      <c r="E35" s="5" t="n"/>
      <c r="F35" s="26">
        <f>IFERROR(INDEX(Amenazas MAGERIT!$A$2:$A$84,MATCH($E35,Amenazas MAGERIT!$B$2:$B$84,0)),"")</f>
        <v/>
      </c>
      <c r="G35" s="26">
        <f>IFERROR(VLOOKUP($E35,Amenazas MAGERIT!$B$2:$D$84,2,FALSE),"")</f>
        <v/>
      </c>
      <c r="H35" s="26">
        <f>IFERROR(VLOOKUP($E35,Amenazas MAGERIT!$B$2:$D$84,3,FALSE),"")</f>
        <v/>
      </c>
      <c r="I35" s="5" t="n"/>
      <c r="J35" s="5" t="n"/>
      <c r="K35" s="5" t="n"/>
      <c r="L35" s="5" t="n"/>
      <c r="M35" s="30">
        <f>IFERROR(INDEX(MatrizRiesgo,MATCH($K35,Orden,0),MATCH($L35,Orden,0)),"")</f>
        <v/>
      </c>
      <c r="N35" s="5" t="n"/>
      <c r="O35" s="5" t="n"/>
      <c r="P35" s="5" t="n"/>
      <c r="Q35" s="5" t="n"/>
      <c r="R35" s="30">
        <f>IFERROR(INDEX(MatrizRiesgo,MATCH($P35,Orden,0),MATCH($Q35,Orden,0)),"")</f>
        <v/>
      </c>
      <c r="S35" s="5" t="n"/>
      <c r="T35" s="5" t="n"/>
      <c r="U35" s="5" t="n"/>
    </row>
    <row r="37" ht="30" customHeight="1">
      <c r="A37" s="6" t="inlineStr">
        <is>
          <t>Notas: columnas D, F, G, H, M y R se calculan automáticamente (no editar). Complete únicamente las celdas con fondo amarillo. El Nivel de Riesgo Residual debe recalcularse tras implementar las salvaguardas adicionales propuestas.</t>
        </is>
      </c>
    </row>
  </sheetData>
  <autoFilter ref="A1:U35"/>
  <conditionalFormatting sqref="M2:M35">
    <cfRule type="expression" priority="1" dxfId="0">
      <formula>$M2="MB"</formula>
    </cfRule>
    <cfRule type="expression" priority="2" dxfId="1">
      <formula>$M2="B"</formula>
    </cfRule>
    <cfRule type="expression" priority="3" dxfId="2">
      <formula>$M2="M"</formula>
    </cfRule>
    <cfRule type="expression" priority="4" dxfId="3">
      <formula>$M2="A"</formula>
    </cfRule>
    <cfRule type="expression" priority="5" dxfId="4">
      <formula>$M2="MA"</formula>
    </cfRule>
  </conditionalFormatting>
  <conditionalFormatting sqref="R2:R35">
    <cfRule type="expression" priority="6" dxfId="0">
      <formula>$R2="MB"</formula>
    </cfRule>
    <cfRule type="expression" priority="7" dxfId="1">
      <formula>$R2="B"</formula>
    </cfRule>
    <cfRule type="expression" priority="8" dxfId="2">
      <formula>$R2="M"</formula>
    </cfRule>
    <cfRule type="expression" priority="9" dxfId="3">
      <formula>$R2="A"</formula>
    </cfRule>
    <cfRule type="expression" priority="10" dxfId="4">
      <formula>$R2="MA"</formula>
    </cfRule>
  </conditionalFormatting>
  <dataValidations count="6">
    <dataValidation sqref="C2:C35" showDropDown="0" showInputMessage="0" showErrorMessage="0" allowBlank="1" type="list">
      <formula1>"D,I,C,A,T"</formula1>
    </dataValidation>
    <dataValidation sqref="K2:K35 L2:L35 P2:P35 Q2:Q35" showDropDown="0" showInputMessage="0" showErrorMessage="0" allowBlank="1" type="list">
      <formula1>Orden</formula1>
    </dataValidation>
    <dataValidation sqref="E2:E35" showDropDown="0" showInputMessage="0" showErrorMessage="0" allowBlank="1" type="list">
      <formula1>'Amenazas MAGERIT'!$B$2:$B$84</formula1>
    </dataValidation>
    <dataValidation sqref="B2:B35" showDropDown="0" showInputMessage="0" showErrorMessage="0" allowBlank="1" type="list">
      <formula1>'Activos'!$B$2:$B$25</formula1>
    </dataValidation>
    <dataValidation sqref="N2:N35" showDropDown="0" showInputMessage="0" showErrorMessage="0" allowBlank="1" type="list">
      <formula1>"Aceptar,Mitigar,Transferir,Evitar"</formula1>
    </dataValidation>
    <dataValidation sqref="U2:U35" showDropDown="0" showInputMessage="0" showErrorMessage="0" allowBlank="1" type="list">
      <formula1>"Pendiente,En curso,Implementado,Cerrado"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2026-07-28T16:46:09Z</dcterms:created>
  <dcterms:modified xsi:type="dcterms:W3CDTF">2026-07-28T16:46:09Z</dcterms:modified>
</cp:coreProperties>
</file>